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Manifest" sheetId="1" state="visible" r:id="rId3"/>
    <sheet name="Summary" sheetId="2" state="visible" r:id="rId4"/>
  </sheets>
  <definedNames>
    <definedName function="false" hidden="true" localSheetId="0" name="_xlnm._FilterDatabase" vbProcedure="false">'Build Manifest'!$A$4:$F$109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<sst xmlns="http://schemas.openxmlformats.org/spreadsheetml/2006/main" count="651" uniqueCount="274">
  <si>
    <t xml:space="preserve">SODA Build Manifest</t>
  </si>
  <si>
    <t xml:space="preserve">A product of Equalpoint, Inc.  .  Living tracker: update Status as items move from Specified to Built</t>
  </si>
  <si>
    <t xml:space="preserve">Layer</t>
  </si>
  <si>
    <t xml:space="preserve">Item</t>
  </si>
  <si>
    <t xml:space="preserve">What it is</t>
  </si>
  <si>
    <t xml:space="preserve">Status</t>
  </si>
  <si>
    <t xml:space="preserve">Format</t>
  </si>
  <si>
    <t xml:space="preserve">Notes</t>
  </si>
  <si>
    <t xml:space="preserve">_layerfill</t>
  </si>
  <si>
    <t xml:space="preserve">1. Design Foundation</t>
  </si>
  <si>
    <t xml:space="preserve">Color system</t>
  </si>
  <si>
    <t xml:space="preserve">Green for action, deep green warm surfaces, near-black canvas, amber timers, purple nudges, red errors</t>
  </si>
  <si>
    <t xml:space="preserve">Locked</t>
  </si>
  <si>
    <t xml:space="preserve">Spec</t>
  </si>
  <si>
    <t xml:space="preserve">One dominant element per screen</t>
  </si>
  <si>
    <t xml:space="preserve">Typography</t>
  </si>
  <si>
    <t xml:space="preserve">Condensed display, DM Sans UI, DM Mono metadata</t>
  </si>
  <si>
    <t xml:space="preserve">Layout rules</t>
  </si>
  <si>
    <t xml:space="preserve">Dark mode only, 8pt grid, 44px touch targets</t>
  </si>
  <si>
    <t xml:space="preserve">Brand voice + signature line</t>
  </si>
  <si>
    <t xml:space="preserve">"A name tag knows you showed up. SODA knows who you became to the room"</t>
  </si>
  <si>
    <t xml:space="preserve">No em dashes rule</t>
  </si>
  <si>
    <t xml:space="preserve">Motion layer</t>
  </si>
  <si>
    <t xml:space="preserve">100/300/700ms motion system</t>
  </si>
  <si>
    <t xml:space="preserve">Pending</t>
  </si>
  <si>
    <t xml:space="preserve">Deliberately last, after screens confirmed</t>
  </si>
  <si>
    <t xml:space="preserve">2. Naming &amp; Ownership</t>
  </si>
  <si>
    <t xml:space="preserve">Product + platform names</t>
  </si>
  <si>
    <t xml:space="preserve">SODA (consumer), Relational OS (engine), Equalpoint (owner)</t>
  </si>
  <si>
    <t xml:space="preserve">The three acts</t>
  </si>
  <si>
    <t xml:space="preserve">The Drop, The Chance, The Nudge</t>
  </si>
  <si>
    <t xml:space="preserve">Ownership model</t>
  </si>
  <si>
    <t xml:space="preserve">Host owns event data, Equalpoint owns platform, brand-agnostic</t>
  </si>
  <si>
    <t xml:space="preserve">3. Attendee Screens</t>
  </si>
  <si>
    <t xml:space="preserve">Entry QR</t>
  </si>
  <si>
    <t xml:space="preserve">Attendee-facing screen</t>
  </si>
  <si>
    <t xml:space="preserve">Specified</t>
  </si>
  <si>
    <t xml:space="preserve">Spec + prompt</t>
  </si>
  <si>
    <t xml:space="preserve">Paste-ready Claude Design prompt</t>
  </si>
  <si>
    <t xml:space="preserve">Welcome</t>
  </si>
  <si>
    <t xml:space="preserve">Sign-In</t>
  </si>
  <si>
    <t xml:space="preserve">Photo</t>
  </si>
  <si>
    <t xml:space="preserve">Role Chips</t>
  </si>
  <si>
    <t xml:space="preserve">Offer Chips</t>
  </si>
  <si>
    <t xml:space="preserve">Need Chips</t>
  </si>
  <si>
    <t xml:space="preserve">Room View</t>
  </si>
  <si>
    <t xml:space="preserve">The Drop</t>
  </si>
  <si>
    <t xml:space="preserve">The Chance</t>
  </si>
  <si>
    <t xml:space="preserve">The Nudge</t>
  </si>
  <si>
    <t xml:space="preserve">Returning-Guest Recognition</t>
  </si>
  <si>
    <t xml:space="preserve">The Comment</t>
  </si>
  <si>
    <t xml:space="preserve">The Survey</t>
  </si>
  <si>
    <t xml:space="preserve">The Send-Off</t>
  </si>
  <si>
    <t xml:space="preserve">Lifecycle Message</t>
  </si>
  <si>
    <t xml:space="preserve">Recap Email</t>
  </si>
  <si>
    <t xml:space="preserve">4. Host - Admin</t>
  </si>
  <si>
    <t xml:space="preserve">Event Creation</t>
  </si>
  <si>
    <t xml:space="preserve">Admin back-office component</t>
  </si>
  <si>
    <t xml:space="preserve">Host Identity &amp; Branding</t>
  </si>
  <si>
    <t xml:space="preserve">Event Setup / Active Event</t>
  </si>
  <si>
    <t xml:space="preserve">Prompt &amp; Pairing Settings</t>
  </si>
  <si>
    <t xml:space="preserve">Question Creator</t>
  </si>
  <si>
    <t xml:space="preserve">Chip Queue &amp; Moderation</t>
  </si>
  <si>
    <t xml:space="preserve">Check-In Panel</t>
  </si>
  <si>
    <t xml:space="preserve">Lifecycle Control</t>
  </si>
  <si>
    <t xml:space="preserve">Matches Panel</t>
  </si>
  <si>
    <t xml:space="preserve">Survey Panel</t>
  </si>
  <si>
    <t xml:space="preserve">Export Panel</t>
  </si>
  <si>
    <t xml:space="preserve">4. Host - Command Center</t>
  </si>
  <si>
    <t xml:space="preserve">Live Stat Bar</t>
  </si>
  <si>
    <t xml:space="preserve">Live cockpit component</t>
  </si>
  <si>
    <t xml:space="preserve">Activity Feed</t>
  </si>
  <si>
    <t xml:space="preserve">Connection Status Badge</t>
  </si>
  <si>
    <t xml:space="preserve">Room View (Host)</t>
  </si>
  <si>
    <t xml:space="preserve">Sync Control (Drop)</t>
  </si>
  <si>
    <t xml:space="preserve">Chance Control</t>
  </si>
  <si>
    <t xml:space="preserve">Nudge Control</t>
  </si>
  <si>
    <t xml:space="preserve">Intelligence View</t>
  </si>
  <si>
    <t xml:space="preserve">Open Mic Feed</t>
  </si>
  <si>
    <t xml:space="preserve">Survey Monitor</t>
  </si>
  <si>
    <t xml:space="preserve">Broadcast &amp; Announce</t>
  </si>
  <si>
    <t xml:space="preserve">4. Host - Access</t>
  </si>
  <si>
    <t xml:space="preserve">Three-level access model</t>
  </si>
  <si>
    <t xml:space="preserve">Operator (master key), Host Owner, Collaborator</t>
  </si>
  <si>
    <t xml:space="preserve">Operator written in now, console later</t>
  </si>
  <si>
    <t xml:space="preserve">Operator master key</t>
  </si>
  <si>
    <t xml:space="preserve">Cross-event reach, suspend a host, platform-wide data and privacy</t>
  </si>
  <si>
    <t xml:space="preserve">Tightly held, logged use</t>
  </si>
  <si>
    <t xml:space="preserve">Host login &amp; sessions</t>
  </si>
  <si>
    <t xml:space="preserve">Email + code, never drop mid-event, recovery via Operator</t>
  </si>
  <si>
    <t xml:space="preserve">Host sign-in screen</t>
  </si>
  <si>
    <t xml:space="preserve">Account creation</t>
  </si>
  <si>
    <t xml:space="preserve">Operator creates host accounts directly</t>
  </si>
  <si>
    <t xml:space="preserve">Pilot path</t>
  </si>
  <si>
    <t xml:space="preserve">Collaborator management</t>
  </si>
  <si>
    <t xml:space="preserve">Owner adds helpers to an event</t>
  </si>
  <si>
    <t xml:space="preserve">Admin panel</t>
  </si>
  <si>
    <t xml:space="preserve">Collaborator welcome</t>
  </si>
  <si>
    <t xml:space="preserve">Event-specific warm welcome for a new collaborator</t>
  </si>
  <si>
    <t xml:space="preserve">First-time entry</t>
  </si>
  <si>
    <t xml:space="preserve">Collaborator tutorial</t>
  </si>
  <si>
    <t xml:space="preserve">Short skippable cards scoped to the role</t>
  </si>
  <si>
    <t xml:space="preserve">Revisitable from help</t>
  </si>
  <si>
    <t xml:space="preserve">Host welcome-back</t>
  </si>
  <si>
    <t xml:space="preserve">Greets a returning Owner or Collaborator and routes them</t>
  </si>
  <si>
    <t xml:space="preserve">Routes into live Command Center</t>
  </si>
  <si>
    <t xml:space="preserve">Operator console</t>
  </si>
  <si>
    <t xml:space="preserve">Cross-event oversight view</t>
  </si>
  <si>
    <t xml:space="preserve">Reserved</t>
  </si>
  <si>
    <t xml:space="preserve">Later build, place reserved</t>
  </si>
  <si>
    <t xml:space="preserve">Invite flow</t>
  </si>
  <si>
    <t xml:space="preserve">Invite links for hosts and collaborators</t>
  </si>
  <si>
    <t xml:space="preserve">Later, as outside hosts arrive</t>
  </si>
  <si>
    <t xml:space="preserve">5. Home &amp; Profile</t>
  </si>
  <si>
    <t xml:space="preserve">Home Shell</t>
  </si>
  <si>
    <t xml:space="preserve">Profile header + 3 tabs</t>
  </si>
  <si>
    <t xml:space="preserve">Screen 17</t>
  </si>
  <si>
    <t xml:space="preserve">Overview Tab</t>
  </si>
  <si>
    <t xml:space="preserve">Greeting, recent events, synced people, survey insight</t>
  </si>
  <si>
    <t xml:space="preserve">Screen 18</t>
  </si>
  <si>
    <t xml:space="preserve">Events Tab</t>
  </si>
  <si>
    <t xml:space="preserve">Event history with location</t>
  </si>
  <si>
    <t xml:space="preserve">Screen 19</t>
  </si>
  <si>
    <t xml:space="preserve">Contacts Tab (Rolodex)</t>
  </si>
  <si>
    <t xml:space="preserve">Dismissible overview + searchable rolodex</t>
  </si>
  <si>
    <t xml:space="preserve">Screen 20, dominant element</t>
  </si>
  <si>
    <t xml:space="preserve">Follow-Up Nudge</t>
  </si>
  <si>
    <t xml:space="preserve">Timed contact nudge driven by warmth</t>
  </si>
  <si>
    <t xml:space="preserve">Technicals written</t>
  </si>
  <si>
    <t xml:space="preserve">Profile Detail / Edit</t>
  </si>
  <si>
    <t xml:space="preserve">Full profile view + edit</t>
  </si>
  <si>
    <t xml:space="preserve">Prototyped</t>
  </si>
  <si>
    <t xml:space="preserve">Sim</t>
  </si>
  <si>
    <t xml:space="preserve">Formal spec still pending</t>
  </si>
  <si>
    <t xml:space="preserve">6. Event Layer</t>
  </si>
  <si>
    <t xml:space="preserve">Event container</t>
  </si>
  <si>
    <t xml:space="preserve">Required name + host name, optional logo, brand-agnostic</t>
  </si>
  <si>
    <t xml:space="preserve">Build now</t>
  </si>
  <si>
    <t xml:space="preserve">Lifecycle</t>
  </si>
  <si>
    <t xml:space="preserve">Draft / Live / Closed</t>
  </si>
  <si>
    <t xml:space="preserve">Per-event QR</t>
  </si>
  <si>
    <t xml:space="preserve">Unique code carrying event id</t>
  </si>
  <si>
    <t xml:space="preserve">Event Mode (Simple / Full)</t>
  </si>
  <si>
    <t xml:space="preserve">Preset over the act toggles, runs full experience or entry plus survey with a quick profile</t>
  </si>
  <si>
    <t xml:space="preserve">Folded into Event Layer, chips kept in Simple</t>
  </si>
  <si>
    <t xml:space="preserve">7. States</t>
  </si>
  <si>
    <t xml:space="preserve">Empty states</t>
  </si>
  <si>
    <t xml:space="preserve">17 empty states across both flows</t>
  </si>
  <si>
    <t xml:space="preserve">4 carry prompts</t>
  </si>
  <si>
    <t xml:space="preserve">Loading states</t>
  </si>
  <si>
    <t xml:space="preserve">9 loading states</t>
  </si>
  <si>
    <t xml:space="preserve">Error states</t>
  </si>
  <si>
    <t xml:space="preserve">5 error states</t>
  </si>
  <si>
    <t xml:space="preserve">8. Auth, Sessions &amp; Failures</t>
  </si>
  <si>
    <t xml:space="preserve">Session rules</t>
  </si>
  <si>
    <t xml:space="preserve">Stay signed in, never expire mid-event, re-auth on expiry</t>
  </si>
  <si>
    <t xml:space="preserve">Identity &amp; de-duplication</t>
  </si>
  <si>
    <t xml:space="preserve">Email as identity key, merge path</t>
  </si>
  <si>
    <t xml:space="preserve">Prevents profile fragmentation</t>
  </si>
  <si>
    <t xml:space="preserve">Coming-back cases</t>
  </si>
  <si>
    <t xml:space="preserve">During event, and between events</t>
  </si>
  <si>
    <t xml:space="preserve">Onboarding failure pass</t>
  </si>
  <si>
    <t xml:space="preserve">Sign-in, QR, profile, PWA, interruptions, expectations</t>
  </si>
  <si>
    <t xml:space="preserve">Full slip-by-slip</t>
  </si>
  <si>
    <t xml:space="preserve">Code-not-arriving help state</t>
  </si>
  <si>
    <t xml:space="preserve">Edit email, resend countdown, check spam</t>
  </si>
  <si>
    <t xml:space="preserve">New state</t>
  </si>
  <si>
    <t xml:space="preserve">Welcome-back re-auth</t>
  </si>
  <si>
    <t xml:space="preserve">Reuses sign-in for expired session</t>
  </si>
  <si>
    <t xml:space="preserve">Add-to-home-screen prompt</t>
  </si>
  <si>
    <t xml:space="preserve">Install invite after event</t>
  </si>
  <si>
    <t xml:space="preserve">Camera-permission help</t>
  </si>
  <si>
    <t xml:space="preserve">Guidance when scan blocked</t>
  </si>
  <si>
    <t xml:space="preserve">Sign-out &amp; kiosk mode</t>
  </si>
  <si>
    <t xml:space="preserve">Explicit sign-out, clean entry on door device</t>
  </si>
  <si>
    <t xml:space="preserve">New behavior</t>
  </si>
  <si>
    <t xml:space="preserve">9. Component Inventory</t>
  </si>
  <si>
    <t xml:space="preserve">Inventory (78 entries)</t>
  </si>
  <si>
    <t xml:space="preserve">Attendee 17, Home 5, Command 10, Admin 15, States 31</t>
  </si>
  <si>
    <t xml:space="preserve">Built</t>
  </si>
  <si>
    <t xml:space="preserve">MD + 2x HTML</t>
  </si>
  <si>
    <t xml:space="preserve">Markdown source + static + mobile interactive</t>
  </si>
  <si>
    <t xml:space="preserve">Auth, host &amp; onboarding folded in</t>
  </si>
  <si>
    <t xml:space="preserve">Inventory now carries access, host access, and onboarding components</t>
  </si>
  <si>
    <t xml:space="preserve">92 entries across 7 categories</t>
  </si>
  <si>
    <t xml:space="preserve">10. Flow Maps</t>
  </si>
  <si>
    <t xml:space="preserve">Attendee Flow Map</t>
  </si>
  <si>
    <t xml:space="preserve">Guest journey across lifecycle</t>
  </si>
  <si>
    <t xml:space="preserve">HTML + MD</t>
  </si>
  <si>
    <t xml:space="preserve">Host Flow Map</t>
  </si>
  <si>
    <t xml:space="preserve">Admin + Command Center</t>
  </si>
  <si>
    <t xml:space="preserve">Profile / Home Flow Map</t>
  </si>
  <si>
    <t xml:space="preserve">Home area + follow-up loop</t>
  </si>
  <si>
    <t xml:space="preserve">HTML</t>
  </si>
  <si>
    <t xml:space="preserve">Master Flow Map</t>
  </si>
  <si>
    <t xml:space="preserve">Every screen, event night + home + recovery</t>
  </si>
  <si>
    <t xml:space="preserve">-</t>
  </si>
  <si>
    <t xml:space="preserve">Joins all flows</t>
  </si>
  <si>
    <t xml:space="preserve">11. Prototypes</t>
  </si>
  <si>
    <t xml:space="preserve">Profile Simulation</t>
  </si>
  <si>
    <t xml:space="preserve">Working clickthrough, warmth decay nudge timing</t>
  </si>
  <si>
    <t xml:space="preserve">HTML/CSS/JS</t>
  </si>
  <si>
    <t xml:space="preserve">Interactive</t>
  </si>
  <si>
    <t xml:space="preserve">Simple Mode sketch</t>
  </si>
  <si>
    <t xml:space="preserve">Interactive Full-vs-Simple toggle showing which screens stay lit</t>
  </si>
  <si>
    <t xml:space="preserve">Shows Event Mode</t>
  </si>
  <si>
    <t xml:space="preserve">Host &amp; Access simulation</t>
  </si>
  <si>
    <t xml:space="preserve">Interactive host and access flows with a role switch across Operator, Owner, Collaborator</t>
  </si>
  <si>
    <t xml:space="preserve">Sign-in, onboarding, returning, operator console preview</t>
  </si>
  <si>
    <t xml:space="preserve">12. Technical Architecture</t>
  </si>
  <si>
    <t xml:space="preserve">Stack</t>
  </si>
  <si>
    <t xml:space="preserve">Next.js + Supabase, per-event scoping, RLS</t>
  </si>
  <si>
    <t xml:space="preserve">Warmth decay engine</t>
  </si>
  <si>
    <t xml:space="preserve">e^(-0.01*days) curve</t>
  </si>
  <si>
    <t xml:space="preserve">AI approval gate</t>
  </si>
  <si>
    <t xml:space="preserve">Two-call, no auto-send</t>
  </si>
  <si>
    <t xml:space="preserve">Discard signal logging</t>
  </si>
  <si>
    <t xml:space="preserve">Dismissed nudges logged as feedback</t>
  </si>
  <si>
    <t xml:space="preserve">Closes prior gap</t>
  </si>
  <si>
    <t xml:space="preserve">Private nudge boundary</t>
  </si>
  <si>
    <t xml:space="preserve">Recipient-only, never shared</t>
  </si>
  <si>
    <t xml:space="preserve">Survey personalization</t>
  </si>
  <si>
    <t xml:space="preserve">Survey tunes overview + nudge order</t>
  </si>
  <si>
    <t xml:space="preserve">Persistent accounts</t>
  </si>
  <si>
    <t xml:space="preserve">Email-keyed accounts + session tokens</t>
  </si>
  <si>
    <t xml:space="preserve">Required by home area</t>
  </si>
  <si>
    <t xml:space="preserve">13. Legal &amp; Trust</t>
  </si>
  <si>
    <t xml:space="preserve">Privacy Policy</t>
  </si>
  <si>
    <t xml:space="preserve">Plain-language, placeholders</t>
  </si>
  <si>
    <t xml:space="preserve">Drafted</t>
  </si>
  <si>
    <t xml:space="preserve">MD + DOCX</t>
  </si>
  <si>
    <t xml:space="preserve">Needs counsel review</t>
  </si>
  <si>
    <t xml:space="preserve">Consent + Sign-In addendum</t>
  </si>
  <si>
    <t xml:space="preserve">Standard light pattern, one line</t>
  </si>
  <si>
    <t xml:space="preserve">MD</t>
  </si>
  <si>
    <t xml:space="preserve">14. Decks</t>
  </si>
  <si>
    <t xml:space="preserve">Investor deck</t>
  </si>
  <si>
    <t xml:space="preserve">14-slide narrative, raises into Equalpoint</t>
  </si>
  <si>
    <t xml:space="preserve">DOCX</t>
  </si>
  <si>
    <t xml:space="preserve">Placeholders for numbers</t>
  </si>
  <si>
    <t xml:space="preserve">Pilot / partner deck</t>
  </si>
  <si>
    <t xml:space="preserve">9-slide narrative for hosts &amp; funders</t>
  </si>
  <si>
    <t xml:space="preserve">Product walkthrough</t>
  </si>
  <si>
    <t xml:space="preserve">10-slide internal alignment</t>
  </si>
  <si>
    <t xml:space="preserve">15. Reserved (Soon)</t>
  </si>
  <si>
    <t xml:space="preserve">Scan-to-add</t>
  </si>
  <si>
    <t xml:space="preserve">QR intake for new contacts</t>
  </si>
  <si>
    <t xml:space="preserve">Home reserved in Contacts header</t>
  </si>
  <si>
    <t xml:space="preserve">Share slide-up</t>
  </si>
  <si>
    <t xml:space="preserve">Text, email, share a contact</t>
  </si>
  <si>
    <t xml:space="preserve">Reserved on contact action</t>
  </si>
  <si>
    <t xml:space="preserve">Location history</t>
  </si>
  <si>
    <t xml:space="preserve">Auto-draft met-at, editable</t>
  </si>
  <si>
    <t xml:space="preserve">Reserved on met-at line</t>
  </si>
  <si>
    <t xml:space="preserve">16. App Build</t>
  </si>
  <si>
    <t xml:space="preserve">Vertical slice</t>
  </si>
  <si>
    <t xml:space="preserve">Scan to room view, thin working path</t>
  </si>
  <si>
    <t xml:space="preserve">First code milestone</t>
  </si>
  <si>
    <t xml:space="preserve">PWA pilot</t>
  </si>
  <si>
    <t xml:space="preserve">Ship as web app for first event</t>
  </si>
  <si>
    <t xml:space="preserve">No app store for pilot</t>
  </si>
  <si>
    <t xml:space="preserve">Status Snapshot</t>
  </si>
  <si>
    <t xml:space="preserve">Total items</t>
  </si>
  <si>
    <t xml:space="preserve">By status</t>
  </si>
  <si>
    <t xml:space="preserve">By layer</t>
  </si>
  <si>
    <t xml:space="preserve">Parked</t>
  </si>
  <si>
    <t xml:space="preserve">Headline numbers</t>
  </si>
  <si>
    <t xml:space="preserve">Attendee screens specified</t>
  </si>
  <si>
    <t xml:space="preserve">Home screens specified</t>
  </si>
  <si>
    <t xml:space="preserve">Components in inventory</t>
  </si>
  <si>
    <t xml:space="preserve">Empty / loading / error states</t>
  </si>
  <si>
    <t xml:space="preserve">Flow maps built</t>
  </si>
  <si>
    <t xml:space="preserve">Decks drafted</t>
  </si>
  <si>
    <t xml:space="preserve">Legend: Locked = settled . Specified = spec + prompt ready . Built = artifact exists . Prototyped = working sim . Drafted = draft for review . Reserved/Parked = intentionally later . Pending = to 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</si>
</sst>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03229"/>
      <name val="Arial"/>
      <family val="0"/>
      <charset val="1"/>
    </font>
    <font>
      <b val="true"/>
      <sz val="10"/>
      <color rgb="FF8A2D2D"/>
      <name val="Arial"/>
      <family val="0"/>
      <charset val="1"/>
    </font>
    <font>
      <b val="true"/>
      <sz val="10"/>
      <color rgb="FF14210B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6B3FA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0322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4210B"/>
        <bgColor rgb="FF222222"/>
      </patternFill>
    </fill>
    <fill>
      <patternFill patternType="solid">
        <fgColor rgb="FFFFFFFF"/>
        <bgColor rgb="FFF4F6F2"/>
      </patternFill>
    </fill>
    <fill>
      <patternFill patternType="solid">
        <fgColor rgb="FF203229"/>
        <bgColor rgb="FF222222"/>
      </patternFill>
    </fill>
    <fill>
      <patternFill patternType="solid">
        <fgColor rgb="FFD7E6D0"/>
        <bgColor rgb="FFCDE8CE"/>
      </patternFill>
    </fill>
    <fill>
      <patternFill patternType="solid">
        <fgColor rgb="FFF4F6F2"/>
        <bgColor rgb="FFFFFFFF"/>
      </patternFill>
    </fill>
    <fill>
      <patternFill patternType="solid">
        <fgColor rgb="FFF6DCDC"/>
        <bgColor rgb="FFE6DCF5"/>
      </patternFill>
    </fill>
    <fill>
      <patternFill patternType="solid">
        <fgColor rgb="FFE7EDE3"/>
        <bgColor rgb="FFE6E6E6"/>
      </patternFill>
    </fill>
    <fill>
      <patternFill patternType="solid">
        <fgColor rgb="FFE6E6E6"/>
        <bgColor rgb="FFE7EDE3"/>
      </patternFill>
    </fill>
    <fill>
      <patternFill patternType="solid">
        <fgColor rgb="FFE6DCF5"/>
        <bgColor rgb="FFE6E6E6"/>
      </patternFill>
    </fill>
    <fill>
      <patternFill patternType="solid">
        <fgColor rgb="FFCDE8CE"/>
        <bgColor rgb="FFD7E6D0"/>
      </patternFill>
    </fill>
    <fill>
      <patternFill patternType="solid">
        <fgColor rgb="FFFBEBC8"/>
        <bgColor rgb="FFF6DC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2"/>
      </left>
      <right style="thin">
        <color rgb="FFD5D8D2"/>
      </right>
      <top style="thin">
        <color rgb="FFD5D8D2"/>
      </top>
      <bottom style="thin">
        <color rgb="FFD5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4" fillId="1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1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03229"/>
          <bgColor rgb="FF000000"/>
        </patternFill>
      </fill>
    </dxf>
    <dxf>
      <fill>
        <patternFill patternType="solid">
          <fgColor rgb="FFF4F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E8CE"/>
          <bgColor rgb="FF000000"/>
        </patternFill>
      </fill>
    </dxf>
    <dxf>
      <fill>
        <patternFill patternType="solid">
          <fgColor rgb="FFD7E6D0"/>
          <bgColor rgb="FF000000"/>
        </patternFill>
      </fill>
    </dxf>
    <dxf>
      <fill>
        <patternFill patternType="solid">
          <fgColor rgb="FFE6DCF5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E7EDE3"/>
          <bgColor rgb="FF000000"/>
        </patternFill>
      </fill>
    </dxf>
    <dxf>
      <fill>
        <patternFill patternType="solid">
          <fgColor rgb="FFF6DCDC"/>
          <bgColor rgb="FF000000"/>
        </patternFill>
      </fill>
    </dxf>
    <dxf>
      <fill>
        <patternFill patternType="solid">
          <fgColor rgb="FFFBEBC8"/>
          <bgColor rgb="FF000000"/>
        </patternFill>
      </fill>
    </dxf>
    <dxf>
      <fill>
        <patternFill patternType="solid">
          <fgColor rgb="FF14210B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8A2D2D"/>
          <bgColor rgb="FF000000"/>
        </patternFill>
      </fill>
    </dxf>
    <dxf>
      <fill>
        <patternFill patternType="solid">
          <fgColor rgb="FF8A5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A5A00"/>
      <rgbColor rgb="FF800080"/>
      <rgbColor rgb="FF008080"/>
      <rgbColor rgb="FFD7E6D0"/>
      <rgbColor rgb="FF777777"/>
      <rgbColor rgb="FF9999FF"/>
      <rgbColor rgb="FF993366"/>
      <rgbColor rgb="FFF4F6F2"/>
      <rgbColor rgb="FFE7EDE3"/>
      <rgbColor rgb="FF660066"/>
      <rgbColor rgb="FFFF8080"/>
      <rgbColor rgb="FF0066CC"/>
      <rgbColor rgb="FFD5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DE8CE"/>
      <rgbColor rgb="FFFBEBC8"/>
      <rgbColor rgb="FFE6DCF5"/>
      <rgbColor rgb="FFFF99CC"/>
      <rgbColor rgb="FFCC99FF"/>
      <rgbColor rgb="FFF6DCD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210B"/>
      <rgbColor rgb="FF222222"/>
      <rgbColor rgb="FF8A2D2D"/>
      <rgbColor rgb="FF993366"/>
      <rgbColor rgb="FF6B3FA0"/>
      <rgbColor rgb="FF2032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true" outlineLevel="0" max="8" min="8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4" t="s">
        <v>8</v>
      </c>
    </row>
    <row r="5" customFormat="false" ht="23.85" hidden="false" customHeight="false" outlineLevel="0" collapsed="false">
      <c r="A5" s="5" t="s">
        <v>9</v>
      </c>
      <c r="B5" s="6" t="s">
        <v>10</v>
      </c>
      <c r="C5" s="6" t="s">
        <v>11</v>
      </c>
      <c r="D5" s="7" t="s">
        <v>12</v>
      </c>
      <c r="E5" s="6" t="s">
        <v>13</v>
      </c>
      <c r="F5" s="6" t="s">
        <v>14</v>
      </c>
      <c r="H5" s="4" t="s">
        <v>9</v>
      </c>
    </row>
    <row r="6" customFormat="false" ht="15" hidden="false" customHeight="false" outlineLevel="0" collapsed="false">
      <c r="A6" s="8"/>
      <c r="B6" s="8" t="s">
        <v>15</v>
      </c>
      <c r="C6" s="8" t="s">
        <v>16</v>
      </c>
      <c r="D6" s="7" t="s">
        <v>12</v>
      </c>
      <c r="E6" s="8" t="s">
        <v>13</v>
      </c>
      <c r="F6" s="8"/>
      <c r="H6" s="4" t="s">
        <v>9</v>
      </c>
    </row>
    <row r="7" customFormat="false" ht="15" hidden="false" customHeight="false" outlineLevel="0" collapsed="false">
      <c r="A7" s="6"/>
      <c r="B7" s="6" t="s">
        <v>17</v>
      </c>
      <c r="C7" s="6" t="s">
        <v>18</v>
      </c>
      <c r="D7" s="7" t="s">
        <v>12</v>
      </c>
      <c r="E7" s="6" t="s">
        <v>13</v>
      </c>
      <c r="F7" s="6"/>
      <c r="H7" s="4" t="s">
        <v>9</v>
      </c>
    </row>
    <row r="8" customFormat="false" ht="23.85" hidden="false" customHeight="false" outlineLevel="0" collapsed="false">
      <c r="A8" s="8"/>
      <c r="B8" s="8" t="s">
        <v>19</v>
      </c>
      <c r="C8" s="8" t="s">
        <v>20</v>
      </c>
      <c r="D8" s="7" t="s">
        <v>12</v>
      </c>
      <c r="E8" s="8" t="s">
        <v>13</v>
      </c>
      <c r="F8" s="8" t="s">
        <v>21</v>
      </c>
      <c r="H8" s="4" t="s">
        <v>9</v>
      </c>
    </row>
    <row r="9" customFormat="false" ht="15" hidden="false" customHeight="false" outlineLevel="0" collapsed="false">
      <c r="A9" s="6"/>
      <c r="B9" s="6" t="s">
        <v>22</v>
      </c>
      <c r="C9" s="6" t="s">
        <v>23</v>
      </c>
      <c r="D9" s="9" t="s">
        <v>24</v>
      </c>
      <c r="E9" s="6" t="s">
        <v>13</v>
      </c>
      <c r="F9" s="6" t="s">
        <v>25</v>
      </c>
      <c r="H9" s="4" t="s">
        <v>9</v>
      </c>
    </row>
    <row r="10" customFormat="false" ht="23.85" hidden="false" customHeight="false" outlineLevel="0" collapsed="false">
      <c r="A10" s="10" t="s">
        <v>26</v>
      </c>
      <c r="B10" s="8" t="s">
        <v>27</v>
      </c>
      <c r="C10" s="8" t="s">
        <v>28</v>
      </c>
      <c r="D10" s="7" t="s">
        <v>12</v>
      </c>
      <c r="E10" s="8" t="s">
        <v>13</v>
      </c>
      <c r="F10" s="8"/>
      <c r="H10" s="4" t="s">
        <v>26</v>
      </c>
    </row>
    <row r="11" customFormat="false" ht="15" hidden="false" customHeight="false" outlineLevel="0" collapsed="false">
      <c r="A11" s="6"/>
      <c r="B11" s="6" t="s">
        <v>29</v>
      </c>
      <c r="C11" s="6" t="s">
        <v>30</v>
      </c>
      <c r="D11" s="7" t="s">
        <v>12</v>
      </c>
      <c r="E11" s="6" t="s">
        <v>13</v>
      </c>
      <c r="F11" s="6"/>
      <c r="H11" s="4" t="s">
        <v>26</v>
      </c>
    </row>
    <row r="12" customFormat="false" ht="23.85" hidden="false" customHeight="false" outlineLevel="0" collapsed="false">
      <c r="A12" s="8"/>
      <c r="B12" s="8" t="s">
        <v>31</v>
      </c>
      <c r="C12" s="8" t="s">
        <v>32</v>
      </c>
      <c r="D12" s="7" t="s">
        <v>12</v>
      </c>
      <c r="E12" s="8" t="s">
        <v>13</v>
      </c>
      <c r="F12" s="8"/>
      <c r="H12" s="4" t="s">
        <v>26</v>
      </c>
    </row>
    <row r="13" customFormat="false" ht="15" hidden="false" customHeight="false" outlineLevel="0" collapsed="false">
      <c r="A13" s="5" t="s">
        <v>33</v>
      </c>
      <c r="B13" s="6" t="s">
        <v>34</v>
      </c>
      <c r="C13" s="6" t="s">
        <v>35</v>
      </c>
      <c r="D13" s="11" t="s">
        <v>36</v>
      </c>
      <c r="E13" s="6" t="s">
        <v>37</v>
      </c>
      <c r="F13" s="6" t="s">
        <v>38</v>
      </c>
      <c r="H13" s="4" t="s">
        <v>33</v>
      </c>
    </row>
    <row r="14" customFormat="false" ht="15" hidden="false" customHeight="false" outlineLevel="0" collapsed="false">
      <c r="A14" s="8"/>
      <c r="B14" s="8" t="s">
        <v>39</v>
      </c>
      <c r="C14" s="8" t="s">
        <v>35</v>
      </c>
      <c r="D14" s="11" t="s">
        <v>36</v>
      </c>
      <c r="E14" s="8" t="s">
        <v>37</v>
      </c>
      <c r="F14" s="8" t="s">
        <v>38</v>
      </c>
      <c r="H14" s="4" t="s">
        <v>33</v>
      </c>
    </row>
    <row r="15" customFormat="false" ht="15" hidden="false" customHeight="false" outlineLevel="0" collapsed="false">
      <c r="A15" s="6"/>
      <c r="B15" s="6" t="s">
        <v>40</v>
      </c>
      <c r="C15" s="6" t="s">
        <v>35</v>
      </c>
      <c r="D15" s="11" t="s">
        <v>36</v>
      </c>
      <c r="E15" s="6" t="s">
        <v>37</v>
      </c>
      <c r="F15" s="6" t="s">
        <v>38</v>
      </c>
      <c r="H15" s="4" t="s">
        <v>33</v>
      </c>
    </row>
    <row r="16" customFormat="false" ht="15" hidden="false" customHeight="false" outlineLevel="0" collapsed="false">
      <c r="A16" s="8"/>
      <c r="B16" s="8" t="s">
        <v>41</v>
      </c>
      <c r="C16" s="8" t="s">
        <v>35</v>
      </c>
      <c r="D16" s="11" t="s">
        <v>36</v>
      </c>
      <c r="E16" s="8" t="s">
        <v>37</v>
      </c>
      <c r="F16" s="8" t="s">
        <v>38</v>
      </c>
      <c r="H16" s="4" t="s">
        <v>33</v>
      </c>
    </row>
    <row r="17" customFormat="false" ht="15" hidden="false" customHeight="false" outlineLevel="0" collapsed="false">
      <c r="A17" s="6"/>
      <c r="B17" s="6" t="s">
        <v>42</v>
      </c>
      <c r="C17" s="6" t="s">
        <v>35</v>
      </c>
      <c r="D17" s="11" t="s">
        <v>36</v>
      </c>
      <c r="E17" s="6" t="s">
        <v>37</v>
      </c>
      <c r="F17" s="6" t="s">
        <v>38</v>
      </c>
      <c r="H17" s="4" t="s">
        <v>33</v>
      </c>
    </row>
    <row r="18" customFormat="false" ht="15" hidden="false" customHeight="false" outlineLevel="0" collapsed="false">
      <c r="A18" s="8"/>
      <c r="B18" s="8" t="s">
        <v>43</v>
      </c>
      <c r="C18" s="8" t="s">
        <v>35</v>
      </c>
      <c r="D18" s="11" t="s">
        <v>36</v>
      </c>
      <c r="E18" s="8" t="s">
        <v>37</v>
      </c>
      <c r="F18" s="8" t="s">
        <v>38</v>
      </c>
      <c r="H18" s="4" t="s">
        <v>33</v>
      </c>
    </row>
    <row r="19" customFormat="false" ht="15" hidden="false" customHeight="false" outlineLevel="0" collapsed="false">
      <c r="A19" s="6"/>
      <c r="B19" s="6" t="s">
        <v>44</v>
      </c>
      <c r="C19" s="6" t="s">
        <v>35</v>
      </c>
      <c r="D19" s="11" t="s">
        <v>36</v>
      </c>
      <c r="E19" s="6" t="s">
        <v>37</v>
      </c>
      <c r="F19" s="6" t="s">
        <v>38</v>
      </c>
      <c r="H19" s="4" t="s">
        <v>33</v>
      </c>
    </row>
    <row r="20" customFormat="false" ht="15" hidden="false" customHeight="false" outlineLevel="0" collapsed="false">
      <c r="A20" s="8"/>
      <c r="B20" s="8" t="s">
        <v>45</v>
      </c>
      <c r="C20" s="8" t="s">
        <v>35</v>
      </c>
      <c r="D20" s="11" t="s">
        <v>36</v>
      </c>
      <c r="E20" s="8" t="s">
        <v>37</v>
      </c>
      <c r="F20" s="8" t="s">
        <v>38</v>
      </c>
      <c r="H20" s="4" t="s">
        <v>33</v>
      </c>
    </row>
    <row r="21" customFormat="false" ht="15" hidden="false" customHeight="false" outlineLevel="0" collapsed="false">
      <c r="A21" s="6"/>
      <c r="B21" s="6" t="s">
        <v>46</v>
      </c>
      <c r="C21" s="6" t="s">
        <v>35</v>
      </c>
      <c r="D21" s="11" t="s">
        <v>36</v>
      </c>
      <c r="E21" s="6" t="s">
        <v>37</v>
      </c>
      <c r="F21" s="6" t="s">
        <v>38</v>
      </c>
      <c r="H21" s="4" t="s">
        <v>33</v>
      </c>
    </row>
    <row r="22" customFormat="false" ht="15" hidden="false" customHeight="false" outlineLevel="0" collapsed="false">
      <c r="A22" s="8"/>
      <c r="B22" s="8" t="s">
        <v>47</v>
      </c>
      <c r="C22" s="8" t="s">
        <v>35</v>
      </c>
      <c r="D22" s="11" t="s">
        <v>36</v>
      </c>
      <c r="E22" s="8" t="s">
        <v>37</v>
      </c>
      <c r="F22" s="8" t="s">
        <v>38</v>
      </c>
      <c r="H22" s="4" t="s">
        <v>33</v>
      </c>
    </row>
    <row r="23" customFormat="false" ht="15" hidden="false" customHeight="false" outlineLevel="0" collapsed="false">
      <c r="A23" s="6"/>
      <c r="B23" s="6" t="s">
        <v>48</v>
      </c>
      <c r="C23" s="6" t="s">
        <v>35</v>
      </c>
      <c r="D23" s="11" t="s">
        <v>36</v>
      </c>
      <c r="E23" s="6" t="s">
        <v>37</v>
      </c>
      <c r="F23" s="6" t="s">
        <v>38</v>
      </c>
      <c r="H23" s="4" t="s">
        <v>33</v>
      </c>
    </row>
    <row r="24" customFormat="false" ht="15" hidden="false" customHeight="false" outlineLevel="0" collapsed="false">
      <c r="A24" s="8"/>
      <c r="B24" s="8" t="s">
        <v>49</v>
      </c>
      <c r="C24" s="8" t="s">
        <v>35</v>
      </c>
      <c r="D24" s="11" t="s">
        <v>36</v>
      </c>
      <c r="E24" s="8" t="s">
        <v>37</v>
      </c>
      <c r="F24" s="8" t="s">
        <v>38</v>
      </c>
      <c r="H24" s="4" t="s">
        <v>33</v>
      </c>
    </row>
    <row r="25" customFormat="false" ht="15" hidden="false" customHeight="false" outlineLevel="0" collapsed="false">
      <c r="A25" s="6"/>
      <c r="B25" s="6" t="s">
        <v>50</v>
      </c>
      <c r="C25" s="6" t="s">
        <v>35</v>
      </c>
      <c r="D25" s="11" t="s">
        <v>36</v>
      </c>
      <c r="E25" s="6" t="s">
        <v>37</v>
      </c>
      <c r="F25" s="6" t="s">
        <v>38</v>
      </c>
      <c r="H25" s="4" t="s">
        <v>33</v>
      </c>
    </row>
    <row r="26" customFormat="false" ht="15" hidden="false" customHeight="false" outlineLevel="0" collapsed="false">
      <c r="A26" s="8"/>
      <c r="B26" s="8" t="s">
        <v>51</v>
      </c>
      <c r="C26" s="8" t="s">
        <v>35</v>
      </c>
      <c r="D26" s="11" t="s">
        <v>36</v>
      </c>
      <c r="E26" s="8" t="s">
        <v>37</v>
      </c>
      <c r="F26" s="8" t="s">
        <v>38</v>
      </c>
      <c r="H26" s="4" t="s">
        <v>33</v>
      </c>
    </row>
    <row r="27" customFormat="false" ht="15" hidden="false" customHeight="false" outlineLevel="0" collapsed="false">
      <c r="A27" s="6"/>
      <c r="B27" s="6" t="s">
        <v>52</v>
      </c>
      <c r="C27" s="6" t="s">
        <v>35</v>
      </c>
      <c r="D27" s="11" t="s">
        <v>36</v>
      </c>
      <c r="E27" s="6" t="s">
        <v>37</v>
      </c>
      <c r="F27" s="6" t="s">
        <v>38</v>
      </c>
      <c r="H27" s="4" t="s">
        <v>33</v>
      </c>
    </row>
    <row r="28" customFormat="false" ht="15" hidden="false" customHeight="false" outlineLevel="0" collapsed="false">
      <c r="A28" s="8"/>
      <c r="B28" s="8" t="s">
        <v>53</v>
      </c>
      <c r="C28" s="8" t="s">
        <v>35</v>
      </c>
      <c r="D28" s="11" t="s">
        <v>36</v>
      </c>
      <c r="E28" s="8" t="s">
        <v>37</v>
      </c>
      <c r="F28" s="8" t="s">
        <v>38</v>
      </c>
      <c r="H28" s="4" t="s">
        <v>33</v>
      </c>
    </row>
    <row r="29" customFormat="false" ht="15" hidden="false" customHeight="false" outlineLevel="0" collapsed="false">
      <c r="A29" s="6"/>
      <c r="B29" s="6" t="s">
        <v>54</v>
      </c>
      <c r="C29" s="6" t="s">
        <v>35</v>
      </c>
      <c r="D29" s="11" t="s">
        <v>36</v>
      </c>
      <c r="E29" s="6" t="s">
        <v>37</v>
      </c>
      <c r="F29" s="6" t="s">
        <v>38</v>
      </c>
      <c r="H29" s="4" t="s">
        <v>33</v>
      </c>
    </row>
    <row r="30" customFormat="false" ht="15" hidden="false" customHeight="false" outlineLevel="0" collapsed="false">
      <c r="A30" s="10" t="s">
        <v>55</v>
      </c>
      <c r="B30" s="8" t="s">
        <v>56</v>
      </c>
      <c r="C30" s="8" t="s">
        <v>57</v>
      </c>
      <c r="D30" s="11" t="s">
        <v>36</v>
      </c>
      <c r="E30" s="8" t="s">
        <v>13</v>
      </c>
      <c r="F30" s="8"/>
      <c r="H30" s="4" t="s">
        <v>55</v>
      </c>
    </row>
    <row r="31" customFormat="false" ht="15" hidden="false" customHeight="false" outlineLevel="0" collapsed="false">
      <c r="A31" s="6"/>
      <c r="B31" s="6" t="s">
        <v>58</v>
      </c>
      <c r="C31" s="6" t="s">
        <v>57</v>
      </c>
      <c r="D31" s="11" t="s">
        <v>36</v>
      </c>
      <c r="E31" s="6" t="s">
        <v>13</v>
      </c>
      <c r="F31" s="6"/>
      <c r="H31" s="4" t="s">
        <v>55</v>
      </c>
    </row>
    <row r="32" customFormat="false" ht="15" hidden="false" customHeight="false" outlineLevel="0" collapsed="false">
      <c r="A32" s="8"/>
      <c r="B32" s="8" t="s">
        <v>59</v>
      </c>
      <c r="C32" s="8" t="s">
        <v>57</v>
      </c>
      <c r="D32" s="11" t="s">
        <v>36</v>
      </c>
      <c r="E32" s="8" t="s">
        <v>13</v>
      </c>
      <c r="F32" s="8"/>
      <c r="H32" s="4" t="s">
        <v>55</v>
      </c>
    </row>
    <row r="33" customFormat="false" ht="15" hidden="false" customHeight="false" outlineLevel="0" collapsed="false">
      <c r="A33" s="6"/>
      <c r="B33" s="6" t="s">
        <v>60</v>
      </c>
      <c r="C33" s="6" t="s">
        <v>57</v>
      </c>
      <c r="D33" s="11" t="s">
        <v>36</v>
      </c>
      <c r="E33" s="6" t="s">
        <v>13</v>
      </c>
      <c r="F33" s="6"/>
      <c r="H33" s="4" t="s">
        <v>55</v>
      </c>
    </row>
    <row r="34" customFormat="false" ht="15" hidden="false" customHeight="false" outlineLevel="0" collapsed="false">
      <c r="A34" s="8"/>
      <c r="B34" s="8" t="s">
        <v>61</v>
      </c>
      <c r="C34" s="8" t="s">
        <v>57</v>
      </c>
      <c r="D34" s="11" t="s">
        <v>36</v>
      </c>
      <c r="E34" s="8" t="s">
        <v>13</v>
      </c>
      <c r="F34" s="8"/>
      <c r="H34" s="4" t="s">
        <v>55</v>
      </c>
    </row>
    <row r="35" customFormat="false" ht="15" hidden="false" customHeight="false" outlineLevel="0" collapsed="false">
      <c r="A35" s="6"/>
      <c r="B35" s="6" t="s">
        <v>62</v>
      </c>
      <c r="C35" s="6" t="s">
        <v>57</v>
      </c>
      <c r="D35" s="11" t="s">
        <v>36</v>
      </c>
      <c r="E35" s="6" t="s">
        <v>13</v>
      </c>
      <c r="F35" s="6"/>
      <c r="H35" s="4" t="s">
        <v>55</v>
      </c>
    </row>
    <row r="36" customFormat="false" ht="15" hidden="false" customHeight="false" outlineLevel="0" collapsed="false">
      <c r="A36" s="8"/>
      <c r="B36" s="8" t="s">
        <v>63</v>
      </c>
      <c r="C36" s="8" t="s">
        <v>57</v>
      </c>
      <c r="D36" s="11" t="s">
        <v>36</v>
      </c>
      <c r="E36" s="8" t="s">
        <v>13</v>
      </c>
      <c r="F36" s="8"/>
      <c r="H36" s="4" t="s">
        <v>55</v>
      </c>
    </row>
    <row r="37" customFormat="false" ht="15" hidden="false" customHeight="false" outlineLevel="0" collapsed="false">
      <c r="A37" s="6"/>
      <c r="B37" s="6" t="s">
        <v>64</v>
      </c>
      <c r="C37" s="6" t="s">
        <v>57</v>
      </c>
      <c r="D37" s="11" t="s">
        <v>36</v>
      </c>
      <c r="E37" s="6" t="s">
        <v>13</v>
      </c>
      <c r="F37" s="6"/>
      <c r="H37" s="4" t="s">
        <v>55</v>
      </c>
    </row>
    <row r="38" customFormat="false" ht="15" hidden="false" customHeight="false" outlineLevel="0" collapsed="false">
      <c r="A38" s="8"/>
      <c r="B38" s="8" t="s">
        <v>65</v>
      </c>
      <c r="C38" s="8" t="s">
        <v>57</v>
      </c>
      <c r="D38" s="11" t="s">
        <v>36</v>
      </c>
      <c r="E38" s="8" t="s">
        <v>13</v>
      </c>
      <c r="F38" s="8"/>
      <c r="H38" s="4" t="s">
        <v>55</v>
      </c>
    </row>
    <row r="39" customFormat="false" ht="15" hidden="false" customHeight="false" outlineLevel="0" collapsed="false">
      <c r="A39" s="6"/>
      <c r="B39" s="6" t="s">
        <v>66</v>
      </c>
      <c r="C39" s="6" t="s">
        <v>57</v>
      </c>
      <c r="D39" s="11" t="s">
        <v>36</v>
      </c>
      <c r="E39" s="6" t="s">
        <v>13</v>
      </c>
      <c r="F39" s="6"/>
      <c r="H39" s="4" t="s">
        <v>55</v>
      </c>
    </row>
    <row r="40" customFormat="false" ht="15" hidden="false" customHeight="false" outlineLevel="0" collapsed="false">
      <c r="A40" s="8"/>
      <c r="B40" s="8" t="s">
        <v>67</v>
      </c>
      <c r="C40" s="8" t="s">
        <v>57</v>
      </c>
      <c r="D40" s="11" t="s">
        <v>36</v>
      </c>
      <c r="E40" s="8" t="s">
        <v>13</v>
      </c>
      <c r="F40" s="8"/>
      <c r="H40" s="4" t="s">
        <v>55</v>
      </c>
    </row>
    <row r="41" customFormat="false" ht="23.85" hidden="false" customHeight="false" outlineLevel="0" collapsed="false">
      <c r="A41" s="5" t="s">
        <v>68</v>
      </c>
      <c r="B41" s="6" t="s">
        <v>69</v>
      </c>
      <c r="C41" s="6" t="s">
        <v>70</v>
      </c>
      <c r="D41" s="11" t="s">
        <v>36</v>
      </c>
      <c r="E41" s="6" t="s">
        <v>13</v>
      </c>
      <c r="F41" s="6"/>
      <c r="H41" s="4" t="s">
        <v>68</v>
      </c>
    </row>
    <row r="42" customFormat="false" ht="15" hidden="false" customHeight="false" outlineLevel="0" collapsed="false">
      <c r="A42" s="8"/>
      <c r="B42" s="8" t="s">
        <v>71</v>
      </c>
      <c r="C42" s="8" t="s">
        <v>70</v>
      </c>
      <c r="D42" s="11" t="s">
        <v>36</v>
      </c>
      <c r="E42" s="8" t="s">
        <v>13</v>
      </c>
      <c r="F42" s="8"/>
      <c r="H42" s="4" t="s">
        <v>68</v>
      </c>
    </row>
    <row r="43" customFormat="false" ht="15" hidden="false" customHeight="false" outlineLevel="0" collapsed="false">
      <c r="A43" s="6"/>
      <c r="B43" s="6" t="s">
        <v>72</v>
      </c>
      <c r="C43" s="6" t="s">
        <v>70</v>
      </c>
      <c r="D43" s="11" t="s">
        <v>36</v>
      </c>
      <c r="E43" s="6" t="s">
        <v>13</v>
      </c>
      <c r="F43" s="6"/>
      <c r="H43" s="4" t="s">
        <v>68</v>
      </c>
    </row>
    <row r="44" customFormat="false" ht="15" hidden="false" customHeight="false" outlineLevel="0" collapsed="false">
      <c r="A44" s="8"/>
      <c r="B44" s="8" t="s">
        <v>73</v>
      </c>
      <c r="C44" s="8" t="s">
        <v>70</v>
      </c>
      <c r="D44" s="11" t="s">
        <v>36</v>
      </c>
      <c r="E44" s="8" t="s">
        <v>13</v>
      </c>
      <c r="F44" s="8"/>
      <c r="H44" s="4" t="s">
        <v>68</v>
      </c>
    </row>
    <row r="45" customFormat="false" ht="15" hidden="false" customHeight="false" outlineLevel="0" collapsed="false">
      <c r="A45" s="6"/>
      <c r="B45" s="6" t="s">
        <v>74</v>
      </c>
      <c r="C45" s="6" t="s">
        <v>70</v>
      </c>
      <c r="D45" s="11" t="s">
        <v>36</v>
      </c>
      <c r="E45" s="6" t="s">
        <v>13</v>
      </c>
      <c r="F45" s="6"/>
      <c r="H45" s="4" t="s">
        <v>68</v>
      </c>
    </row>
    <row r="46" customFormat="false" ht="15" hidden="false" customHeight="false" outlineLevel="0" collapsed="false">
      <c r="A46" s="8"/>
      <c r="B46" s="8" t="s">
        <v>75</v>
      </c>
      <c r="C46" s="8" t="s">
        <v>70</v>
      </c>
      <c r="D46" s="11" t="s">
        <v>36</v>
      </c>
      <c r="E46" s="8" t="s">
        <v>13</v>
      </c>
      <c r="F46" s="8"/>
      <c r="H46" s="4" t="s">
        <v>68</v>
      </c>
    </row>
    <row r="47" customFormat="false" ht="15" hidden="false" customHeight="false" outlineLevel="0" collapsed="false">
      <c r="A47" s="6"/>
      <c r="B47" s="6" t="s">
        <v>76</v>
      </c>
      <c r="C47" s="6" t="s">
        <v>70</v>
      </c>
      <c r="D47" s="11" t="s">
        <v>36</v>
      </c>
      <c r="E47" s="6" t="s">
        <v>13</v>
      </c>
      <c r="F47" s="6"/>
      <c r="H47" s="4" t="s">
        <v>68</v>
      </c>
    </row>
    <row r="48" customFormat="false" ht="15" hidden="false" customHeight="false" outlineLevel="0" collapsed="false">
      <c r="A48" s="8"/>
      <c r="B48" s="8" t="s">
        <v>77</v>
      </c>
      <c r="C48" s="8" t="s">
        <v>70</v>
      </c>
      <c r="D48" s="11" t="s">
        <v>36</v>
      </c>
      <c r="E48" s="8" t="s">
        <v>13</v>
      </c>
      <c r="F48" s="8"/>
      <c r="H48" s="4" t="s">
        <v>68</v>
      </c>
    </row>
    <row r="49" customFormat="false" ht="15" hidden="false" customHeight="false" outlineLevel="0" collapsed="false">
      <c r="A49" s="6"/>
      <c r="B49" s="6" t="s">
        <v>78</v>
      </c>
      <c r="C49" s="6" t="s">
        <v>70</v>
      </c>
      <c r="D49" s="11" t="s">
        <v>36</v>
      </c>
      <c r="E49" s="6" t="s">
        <v>13</v>
      </c>
      <c r="F49" s="6"/>
      <c r="H49" s="4" t="s">
        <v>68</v>
      </c>
    </row>
    <row r="50" customFormat="false" ht="15" hidden="false" customHeight="false" outlineLevel="0" collapsed="false">
      <c r="A50" s="8"/>
      <c r="B50" s="8" t="s">
        <v>79</v>
      </c>
      <c r="C50" s="8" t="s">
        <v>70</v>
      </c>
      <c r="D50" s="11" t="s">
        <v>36</v>
      </c>
      <c r="E50" s="8" t="s">
        <v>13</v>
      </c>
      <c r="F50" s="8"/>
      <c r="H50" s="4" t="s">
        <v>68</v>
      </c>
    </row>
    <row r="51" customFormat="false" ht="15" hidden="false" customHeight="false" outlineLevel="0" collapsed="false">
      <c r="A51" s="6"/>
      <c r="B51" s="6" t="s">
        <v>80</v>
      </c>
      <c r="C51" s="6" t="s">
        <v>70</v>
      </c>
      <c r="D51" s="11" t="s">
        <v>36</v>
      </c>
      <c r="E51" s="6" t="s">
        <v>13</v>
      </c>
      <c r="F51" s="6"/>
      <c r="H51" s="4" t="s">
        <v>68</v>
      </c>
    </row>
    <row r="52" customFormat="false" ht="15" hidden="false" customHeight="false" outlineLevel="0" collapsed="false">
      <c r="A52" s="10" t="s">
        <v>81</v>
      </c>
      <c r="B52" s="8" t="s">
        <v>82</v>
      </c>
      <c r="C52" s="8" t="s">
        <v>83</v>
      </c>
      <c r="D52" s="11" t="s">
        <v>36</v>
      </c>
      <c r="E52" s="8" t="s">
        <v>13</v>
      </c>
      <c r="F52" s="8" t="s">
        <v>84</v>
      </c>
      <c r="H52" s="4" t="s">
        <v>81</v>
      </c>
    </row>
    <row r="53" customFormat="false" ht="23.85" hidden="false" customHeight="false" outlineLevel="0" collapsed="false">
      <c r="A53" s="6"/>
      <c r="B53" s="6" t="s">
        <v>85</v>
      </c>
      <c r="C53" s="6" t="s">
        <v>86</v>
      </c>
      <c r="D53" s="11" t="s">
        <v>36</v>
      </c>
      <c r="E53" s="6" t="s">
        <v>13</v>
      </c>
      <c r="F53" s="6" t="s">
        <v>87</v>
      </c>
      <c r="H53" s="4" t="s">
        <v>81</v>
      </c>
    </row>
    <row r="54" customFormat="false" ht="15" hidden="false" customHeight="false" outlineLevel="0" collapsed="false">
      <c r="A54" s="8"/>
      <c r="B54" s="8" t="s">
        <v>88</v>
      </c>
      <c r="C54" s="8" t="s">
        <v>89</v>
      </c>
      <c r="D54" s="11" t="s">
        <v>36</v>
      </c>
      <c r="E54" s="8" t="s">
        <v>37</v>
      </c>
      <c r="F54" s="8" t="s">
        <v>90</v>
      </c>
      <c r="H54" s="4" t="s">
        <v>81</v>
      </c>
    </row>
    <row r="55" customFormat="false" ht="15" hidden="false" customHeight="false" outlineLevel="0" collapsed="false">
      <c r="A55" s="6"/>
      <c r="B55" s="6" t="s">
        <v>91</v>
      </c>
      <c r="C55" s="6" t="s">
        <v>92</v>
      </c>
      <c r="D55" s="11" t="s">
        <v>36</v>
      </c>
      <c r="E55" s="6" t="s">
        <v>37</v>
      </c>
      <c r="F55" s="6" t="s">
        <v>93</v>
      </c>
      <c r="H55" s="4" t="s">
        <v>81</v>
      </c>
    </row>
    <row r="56" customFormat="false" ht="15" hidden="false" customHeight="false" outlineLevel="0" collapsed="false">
      <c r="A56" s="8"/>
      <c r="B56" s="8" t="s">
        <v>94</v>
      </c>
      <c r="C56" s="8" t="s">
        <v>95</v>
      </c>
      <c r="D56" s="11" t="s">
        <v>36</v>
      </c>
      <c r="E56" s="8" t="s">
        <v>37</v>
      </c>
      <c r="F56" s="8" t="s">
        <v>96</v>
      </c>
      <c r="H56" s="4" t="s">
        <v>81</v>
      </c>
    </row>
    <row r="57" customFormat="false" ht="15" hidden="false" customHeight="false" outlineLevel="0" collapsed="false">
      <c r="A57" s="6"/>
      <c r="B57" s="6" t="s">
        <v>97</v>
      </c>
      <c r="C57" s="6" t="s">
        <v>98</v>
      </c>
      <c r="D57" s="11" t="s">
        <v>36</v>
      </c>
      <c r="E57" s="6" t="s">
        <v>37</v>
      </c>
      <c r="F57" s="6" t="s">
        <v>99</v>
      </c>
      <c r="H57" s="4" t="s">
        <v>81</v>
      </c>
    </row>
    <row r="58" customFormat="false" ht="15" hidden="false" customHeight="false" outlineLevel="0" collapsed="false">
      <c r="A58" s="8"/>
      <c r="B58" s="8" t="s">
        <v>100</v>
      </c>
      <c r="C58" s="8" t="s">
        <v>101</v>
      </c>
      <c r="D58" s="11" t="s">
        <v>36</v>
      </c>
      <c r="E58" s="8" t="s">
        <v>37</v>
      </c>
      <c r="F58" s="8" t="s">
        <v>102</v>
      </c>
      <c r="H58" s="4" t="s">
        <v>81</v>
      </c>
    </row>
    <row r="59" customFormat="false" ht="15" hidden="false" customHeight="false" outlineLevel="0" collapsed="false">
      <c r="A59" s="6"/>
      <c r="B59" s="6" t="s">
        <v>103</v>
      </c>
      <c r="C59" s="6" t="s">
        <v>104</v>
      </c>
      <c r="D59" s="11" t="s">
        <v>36</v>
      </c>
      <c r="E59" s="6" t="s">
        <v>37</v>
      </c>
      <c r="F59" s="6" t="s">
        <v>105</v>
      </c>
      <c r="H59" s="4" t="s">
        <v>81</v>
      </c>
    </row>
    <row r="60" customFormat="false" ht="15" hidden="false" customHeight="false" outlineLevel="0" collapsed="false">
      <c r="A60" s="8"/>
      <c r="B60" s="8" t="s">
        <v>106</v>
      </c>
      <c r="C60" s="8" t="s">
        <v>107</v>
      </c>
      <c r="D60" s="12" t="s">
        <v>108</v>
      </c>
      <c r="E60" s="8" t="s">
        <v>13</v>
      </c>
      <c r="F60" s="8" t="s">
        <v>109</v>
      </c>
      <c r="H60" s="4" t="s">
        <v>81</v>
      </c>
    </row>
    <row r="61" customFormat="false" ht="15" hidden="false" customHeight="false" outlineLevel="0" collapsed="false">
      <c r="A61" s="6"/>
      <c r="B61" s="6" t="s">
        <v>110</v>
      </c>
      <c r="C61" s="6" t="s">
        <v>111</v>
      </c>
      <c r="D61" s="12" t="s">
        <v>108</v>
      </c>
      <c r="E61" s="6" t="s">
        <v>13</v>
      </c>
      <c r="F61" s="6" t="s">
        <v>112</v>
      </c>
      <c r="H61" s="4" t="s">
        <v>81</v>
      </c>
    </row>
    <row r="62" customFormat="false" ht="15" hidden="false" customHeight="false" outlineLevel="0" collapsed="false">
      <c r="A62" s="10" t="s">
        <v>113</v>
      </c>
      <c r="B62" s="8" t="s">
        <v>114</v>
      </c>
      <c r="C62" s="8" t="s">
        <v>115</v>
      </c>
      <c r="D62" s="11" t="s">
        <v>36</v>
      </c>
      <c r="E62" s="8" t="s">
        <v>37</v>
      </c>
      <c r="F62" s="8" t="s">
        <v>116</v>
      </c>
      <c r="H62" s="4" t="s">
        <v>113</v>
      </c>
    </row>
    <row r="63" customFormat="false" ht="15" hidden="false" customHeight="false" outlineLevel="0" collapsed="false">
      <c r="A63" s="6"/>
      <c r="B63" s="6" t="s">
        <v>117</v>
      </c>
      <c r="C63" s="6" t="s">
        <v>118</v>
      </c>
      <c r="D63" s="11" t="s">
        <v>36</v>
      </c>
      <c r="E63" s="6" t="s">
        <v>37</v>
      </c>
      <c r="F63" s="6" t="s">
        <v>119</v>
      </c>
      <c r="H63" s="4" t="s">
        <v>113</v>
      </c>
    </row>
    <row r="64" customFormat="false" ht="15" hidden="false" customHeight="false" outlineLevel="0" collapsed="false">
      <c r="A64" s="8"/>
      <c r="B64" s="8" t="s">
        <v>120</v>
      </c>
      <c r="C64" s="8" t="s">
        <v>121</v>
      </c>
      <c r="D64" s="11" t="s">
        <v>36</v>
      </c>
      <c r="E64" s="8" t="s">
        <v>37</v>
      </c>
      <c r="F64" s="8" t="s">
        <v>122</v>
      </c>
      <c r="H64" s="4" t="s">
        <v>113</v>
      </c>
    </row>
    <row r="65" customFormat="false" ht="15" hidden="false" customHeight="false" outlineLevel="0" collapsed="false">
      <c r="A65" s="6"/>
      <c r="B65" s="6" t="s">
        <v>123</v>
      </c>
      <c r="C65" s="6" t="s">
        <v>124</v>
      </c>
      <c r="D65" s="11" t="s">
        <v>36</v>
      </c>
      <c r="E65" s="6" t="s">
        <v>37</v>
      </c>
      <c r="F65" s="6" t="s">
        <v>125</v>
      </c>
      <c r="H65" s="4" t="s">
        <v>113</v>
      </c>
    </row>
    <row r="66" customFormat="false" ht="15" hidden="false" customHeight="false" outlineLevel="0" collapsed="false">
      <c r="A66" s="8"/>
      <c r="B66" s="8" t="s">
        <v>126</v>
      </c>
      <c r="C66" s="8" t="s">
        <v>127</v>
      </c>
      <c r="D66" s="11" t="s">
        <v>36</v>
      </c>
      <c r="E66" s="8" t="s">
        <v>13</v>
      </c>
      <c r="F66" s="8" t="s">
        <v>128</v>
      </c>
      <c r="H66" s="4" t="s">
        <v>113</v>
      </c>
    </row>
    <row r="67" customFormat="false" ht="15" hidden="false" customHeight="false" outlineLevel="0" collapsed="false">
      <c r="A67" s="6"/>
      <c r="B67" s="6" t="s">
        <v>129</v>
      </c>
      <c r="C67" s="6" t="s">
        <v>130</v>
      </c>
      <c r="D67" s="13" t="s">
        <v>131</v>
      </c>
      <c r="E67" s="6" t="s">
        <v>132</v>
      </c>
      <c r="F67" s="6" t="s">
        <v>133</v>
      </c>
      <c r="H67" s="4" t="s">
        <v>113</v>
      </c>
    </row>
    <row r="68" customFormat="false" ht="15" hidden="false" customHeight="false" outlineLevel="0" collapsed="false">
      <c r="A68" s="10" t="s">
        <v>134</v>
      </c>
      <c r="B68" s="8" t="s">
        <v>135</v>
      </c>
      <c r="C68" s="8" t="s">
        <v>136</v>
      </c>
      <c r="D68" s="11" t="s">
        <v>36</v>
      </c>
      <c r="E68" s="8" t="s">
        <v>13</v>
      </c>
      <c r="F68" s="8" t="s">
        <v>137</v>
      </c>
      <c r="H68" s="4" t="s">
        <v>134</v>
      </c>
    </row>
    <row r="69" customFormat="false" ht="15" hidden="false" customHeight="false" outlineLevel="0" collapsed="false">
      <c r="A69" s="6"/>
      <c r="B69" s="6" t="s">
        <v>138</v>
      </c>
      <c r="C69" s="6" t="s">
        <v>139</v>
      </c>
      <c r="D69" s="11" t="s">
        <v>36</v>
      </c>
      <c r="E69" s="6" t="s">
        <v>13</v>
      </c>
      <c r="F69" s="6"/>
      <c r="H69" s="4" t="s">
        <v>134</v>
      </c>
    </row>
    <row r="70" customFormat="false" ht="15" hidden="false" customHeight="false" outlineLevel="0" collapsed="false">
      <c r="A70" s="8"/>
      <c r="B70" s="8" t="s">
        <v>140</v>
      </c>
      <c r="C70" s="8" t="s">
        <v>141</v>
      </c>
      <c r="D70" s="11" t="s">
        <v>36</v>
      </c>
      <c r="E70" s="8" t="s">
        <v>13</v>
      </c>
      <c r="F70" s="8"/>
      <c r="H70" s="4" t="s">
        <v>134</v>
      </c>
    </row>
    <row r="71" customFormat="false" ht="23.85" hidden="false" customHeight="false" outlineLevel="0" collapsed="false">
      <c r="A71" s="6"/>
      <c r="B71" s="6" t="s">
        <v>142</v>
      </c>
      <c r="C71" s="6" t="s">
        <v>143</v>
      </c>
      <c r="D71" s="11" t="s">
        <v>36</v>
      </c>
      <c r="E71" s="6" t="s">
        <v>37</v>
      </c>
      <c r="F71" s="6" t="s">
        <v>144</v>
      </c>
      <c r="H71" s="4" t="s">
        <v>134</v>
      </c>
    </row>
    <row r="72" customFormat="false" ht="15" hidden="false" customHeight="false" outlineLevel="0" collapsed="false">
      <c r="A72" s="10" t="s">
        <v>145</v>
      </c>
      <c r="B72" s="8" t="s">
        <v>146</v>
      </c>
      <c r="C72" s="8" t="s">
        <v>147</v>
      </c>
      <c r="D72" s="11" t="s">
        <v>36</v>
      </c>
      <c r="E72" s="8" t="s">
        <v>13</v>
      </c>
      <c r="F72" s="8" t="s">
        <v>148</v>
      </c>
      <c r="H72" s="4" t="s">
        <v>145</v>
      </c>
    </row>
    <row r="73" customFormat="false" ht="15" hidden="false" customHeight="false" outlineLevel="0" collapsed="false">
      <c r="A73" s="6"/>
      <c r="B73" s="6" t="s">
        <v>149</v>
      </c>
      <c r="C73" s="6" t="s">
        <v>150</v>
      </c>
      <c r="D73" s="11" t="s">
        <v>36</v>
      </c>
      <c r="E73" s="6" t="s">
        <v>13</v>
      </c>
      <c r="F73" s="6"/>
      <c r="H73" s="4" t="s">
        <v>145</v>
      </c>
    </row>
    <row r="74" customFormat="false" ht="15" hidden="false" customHeight="false" outlineLevel="0" collapsed="false">
      <c r="A74" s="8"/>
      <c r="B74" s="8" t="s">
        <v>151</v>
      </c>
      <c r="C74" s="8" t="s">
        <v>152</v>
      </c>
      <c r="D74" s="11" t="s">
        <v>36</v>
      </c>
      <c r="E74" s="8" t="s">
        <v>13</v>
      </c>
      <c r="F74" s="8"/>
      <c r="H74" s="4" t="s">
        <v>145</v>
      </c>
    </row>
    <row r="75" customFormat="false" ht="23.85" hidden="false" customHeight="false" outlineLevel="0" collapsed="false">
      <c r="A75" s="5" t="s">
        <v>153</v>
      </c>
      <c r="B75" s="6" t="s">
        <v>154</v>
      </c>
      <c r="C75" s="6" t="s">
        <v>155</v>
      </c>
      <c r="D75" s="11" t="s">
        <v>36</v>
      </c>
      <c r="E75" s="6" t="s">
        <v>13</v>
      </c>
      <c r="F75" s="6"/>
      <c r="H75" s="4" t="s">
        <v>153</v>
      </c>
    </row>
    <row r="76" customFormat="false" ht="15" hidden="false" customHeight="false" outlineLevel="0" collapsed="false">
      <c r="A76" s="8"/>
      <c r="B76" s="8" t="s">
        <v>156</v>
      </c>
      <c r="C76" s="8" t="s">
        <v>157</v>
      </c>
      <c r="D76" s="11" t="s">
        <v>36</v>
      </c>
      <c r="E76" s="8" t="s">
        <v>13</v>
      </c>
      <c r="F76" s="8" t="s">
        <v>158</v>
      </c>
      <c r="H76" s="4" t="s">
        <v>153</v>
      </c>
    </row>
    <row r="77" customFormat="false" ht="15" hidden="false" customHeight="false" outlineLevel="0" collapsed="false">
      <c r="A77" s="6"/>
      <c r="B77" s="6" t="s">
        <v>159</v>
      </c>
      <c r="C77" s="6" t="s">
        <v>160</v>
      </c>
      <c r="D77" s="11" t="s">
        <v>36</v>
      </c>
      <c r="E77" s="6" t="s">
        <v>13</v>
      </c>
      <c r="F77" s="6"/>
      <c r="H77" s="4" t="s">
        <v>153</v>
      </c>
    </row>
    <row r="78" customFormat="false" ht="15" hidden="false" customHeight="false" outlineLevel="0" collapsed="false">
      <c r="A78" s="8"/>
      <c r="B78" s="8" t="s">
        <v>161</v>
      </c>
      <c r="C78" s="8" t="s">
        <v>162</v>
      </c>
      <c r="D78" s="11" t="s">
        <v>36</v>
      </c>
      <c r="E78" s="8" t="s">
        <v>13</v>
      </c>
      <c r="F78" s="8" t="s">
        <v>163</v>
      </c>
      <c r="H78" s="4" t="s">
        <v>153</v>
      </c>
    </row>
    <row r="79" customFormat="false" ht="15" hidden="false" customHeight="false" outlineLevel="0" collapsed="false">
      <c r="A79" s="6"/>
      <c r="B79" s="6" t="s">
        <v>164</v>
      </c>
      <c r="C79" s="6" t="s">
        <v>165</v>
      </c>
      <c r="D79" s="11" t="s">
        <v>36</v>
      </c>
      <c r="E79" s="6" t="s">
        <v>37</v>
      </c>
      <c r="F79" s="6" t="s">
        <v>166</v>
      </c>
      <c r="H79" s="4" t="s">
        <v>153</v>
      </c>
    </row>
    <row r="80" customFormat="false" ht="15" hidden="false" customHeight="false" outlineLevel="0" collapsed="false">
      <c r="A80" s="8"/>
      <c r="B80" s="8" t="s">
        <v>167</v>
      </c>
      <c r="C80" s="8" t="s">
        <v>168</v>
      </c>
      <c r="D80" s="11" t="s">
        <v>36</v>
      </c>
      <c r="E80" s="8" t="s">
        <v>37</v>
      </c>
      <c r="F80" s="8" t="s">
        <v>166</v>
      </c>
      <c r="H80" s="4" t="s">
        <v>153</v>
      </c>
    </row>
    <row r="81" customFormat="false" ht="15" hidden="false" customHeight="false" outlineLevel="0" collapsed="false">
      <c r="A81" s="6"/>
      <c r="B81" s="6" t="s">
        <v>169</v>
      </c>
      <c r="C81" s="6" t="s">
        <v>170</v>
      </c>
      <c r="D81" s="11" t="s">
        <v>36</v>
      </c>
      <c r="E81" s="6" t="s">
        <v>37</v>
      </c>
      <c r="F81" s="6" t="s">
        <v>166</v>
      </c>
      <c r="H81" s="4" t="s">
        <v>153</v>
      </c>
    </row>
    <row r="82" customFormat="false" ht="15" hidden="false" customHeight="false" outlineLevel="0" collapsed="false">
      <c r="A82" s="8"/>
      <c r="B82" s="8" t="s">
        <v>171</v>
      </c>
      <c r="C82" s="8" t="s">
        <v>172</v>
      </c>
      <c r="D82" s="11" t="s">
        <v>36</v>
      </c>
      <c r="E82" s="8" t="s">
        <v>13</v>
      </c>
      <c r="F82" s="8" t="s">
        <v>166</v>
      </c>
      <c r="H82" s="4" t="s">
        <v>153</v>
      </c>
    </row>
    <row r="83" customFormat="false" ht="15" hidden="false" customHeight="false" outlineLevel="0" collapsed="false">
      <c r="A83" s="6"/>
      <c r="B83" s="6" t="s">
        <v>173</v>
      </c>
      <c r="C83" s="6" t="s">
        <v>174</v>
      </c>
      <c r="D83" s="11" t="s">
        <v>36</v>
      </c>
      <c r="E83" s="6" t="s">
        <v>13</v>
      </c>
      <c r="F83" s="6" t="s">
        <v>175</v>
      </c>
      <c r="H83" s="4" t="s">
        <v>153</v>
      </c>
    </row>
    <row r="84" customFormat="false" ht="15" hidden="false" customHeight="false" outlineLevel="0" collapsed="false">
      <c r="A84" s="10" t="s">
        <v>176</v>
      </c>
      <c r="B84" s="8" t="s">
        <v>177</v>
      </c>
      <c r="C84" s="8" t="s">
        <v>178</v>
      </c>
      <c r="D84" s="14" t="s">
        <v>179</v>
      </c>
      <c r="E84" s="8" t="s">
        <v>180</v>
      </c>
      <c r="F84" s="8" t="s">
        <v>181</v>
      </c>
      <c r="H84" s="4" t="s">
        <v>176</v>
      </c>
    </row>
    <row r="85" customFormat="false" ht="23.85" hidden="false" customHeight="false" outlineLevel="0" collapsed="false">
      <c r="A85" s="6"/>
      <c r="B85" s="6" t="s">
        <v>182</v>
      </c>
      <c r="C85" s="6" t="s">
        <v>183</v>
      </c>
      <c r="D85" s="14" t="s">
        <v>179</v>
      </c>
      <c r="E85" s="6" t="s">
        <v>180</v>
      </c>
      <c r="F85" s="6" t="s">
        <v>184</v>
      </c>
      <c r="H85" s="4" t="s">
        <v>176</v>
      </c>
    </row>
    <row r="86" customFormat="false" ht="15" hidden="false" customHeight="false" outlineLevel="0" collapsed="false">
      <c r="A86" s="10" t="s">
        <v>185</v>
      </c>
      <c r="B86" s="8" t="s">
        <v>186</v>
      </c>
      <c r="C86" s="8" t="s">
        <v>187</v>
      </c>
      <c r="D86" s="14" t="s">
        <v>179</v>
      </c>
      <c r="E86" s="8" t="s">
        <v>188</v>
      </c>
      <c r="F86" s="8"/>
      <c r="H86" s="4" t="s">
        <v>185</v>
      </c>
    </row>
    <row r="87" customFormat="false" ht="15" hidden="false" customHeight="false" outlineLevel="0" collapsed="false">
      <c r="A87" s="6"/>
      <c r="B87" s="6" t="s">
        <v>189</v>
      </c>
      <c r="C87" s="6" t="s">
        <v>190</v>
      </c>
      <c r="D87" s="14" t="s">
        <v>179</v>
      </c>
      <c r="E87" s="6" t="s">
        <v>188</v>
      </c>
      <c r="F87" s="6"/>
      <c r="H87" s="4" t="s">
        <v>185</v>
      </c>
    </row>
    <row r="88" customFormat="false" ht="15" hidden="false" customHeight="false" outlineLevel="0" collapsed="false">
      <c r="A88" s="8"/>
      <c r="B88" s="8" t="s">
        <v>191</v>
      </c>
      <c r="C88" s="8" t="s">
        <v>192</v>
      </c>
      <c r="D88" s="14" t="s">
        <v>179</v>
      </c>
      <c r="E88" s="8" t="s">
        <v>193</v>
      </c>
      <c r="F88" s="8"/>
      <c r="H88" s="4" t="s">
        <v>185</v>
      </c>
    </row>
    <row r="89" customFormat="false" ht="15" hidden="false" customHeight="false" outlineLevel="0" collapsed="false">
      <c r="A89" s="6"/>
      <c r="B89" s="6" t="s">
        <v>194</v>
      </c>
      <c r="C89" s="6" t="s">
        <v>195</v>
      </c>
      <c r="D89" s="9" t="s">
        <v>24</v>
      </c>
      <c r="E89" s="6" t="s">
        <v>196</v>
      </c>
      <c r="F89" s="6" t="s">
        <v>197</v>
      </c>
      <c r="H89" s="4" t="s">
        <v>185</v>
      </c>
    </row>
    <row r="90" customFormat="false" ht="15" hidden="false" customHeight="false" outlineLevel="0" collapsed="false">
      <c r="A90" s="10" t="s">
        <v>198</v>
      </c>
      <c r="B90" s="8" t="s">
        <v>199</v>
      </c>
      <c r="C90" s="8" t="s">
        <v>200</v>
      </c>
      <c r="D90" s="13" t="s">
        <v>131</v>
      </c>
      <c r="E90" s="8" t="s">
        <v>201</v>
      </c>
      <c r="F90" s="8" t="s">
        <v>202</v>
      </c>
      <c r="H90" s="4" t="s">
        <v>198</v>
      </c>
    </row>
    <row r="91" customFormat="false" ht="23.85" hidden="false" customHeight="false" outlineLevel="0" collapsed="false">
      <c r="A91" s="6"/>
      <c r="B91" s="6" t="s">
        <v>203</v>
      </c>
      <c r="C91" s="6" t="s">
        <v>204</v>
      </c>
      <c r="D91" s="13" t="s">
        <v>131</v>
      </c>
      <c r="E91" s="6" t="s">
        <v>201</v>
      </c>
      <c r="F91" s="6" t="s">
        <v>205</v>
      </c>
      <c r="H91" s="4" t="s">
        <v>198</v>
      </c>
    </row>
    <row r="92" customFormat="false" ht="23.85" hidden="false" customHeight="false" outlineLevel="0" collapsed="false">
      <c r="A92" s="8"/>
      <c r="B92" s="8" t="s">
        <v>206</v>
      </c>
      <c r="C92" s="8" t="s">
        <v>207</v>
      </c>
      <c r="D92" s="13" t="s">
        <v>131</v>
      </c>
      <c r="E92" s="8" t="s">
        <v>201</v>
      </c>
      <c r="F92" s="8" t="s">
        <v>208</v>
      </c>
      <c r="H92" s="4" t="s">
        <v>198</v>
      </c>
    </row>
    <row r="93" customFormat="false" ht="23.85" hidden="false" customHeight="false" outlineLevel="0" collapsed="false">
      <c r="A93" s="5" t="s">
        <v>209</v>
      </c>
      <c r="B93" s="6" t="s">
        <v>210</v>
      </c>
      <c r="C93" s="6" t="s">
        <v>211</v>
      </c>
      <c r="D93" s="11" t="s">
        <v>36</v>
      </c>
      <c r="E93" s="6" t="s">
        <v>13</v>
      </c>
      <c r="F93" s="6"/>
      <c r="H93" s="4" t="s">
        <v>209</v>
      </c>
    </row>
    <row r="94" customFormat="false" ht="15" hidden="false" customHeight="false" outlineLevel="0" collapsed="false">
      <c r="A94" s="8"/>
      <c r="B94" s="8" t="s">
        <v>212</v>
      </c>
      <c r="C94" s="8" t="s">
        <v>213</v>
      </c>
      <c r="D94" s="11" t="s">
        <v>36</v>
      </c>
      <c r="E94" s="8" t="s">
        <v>13</v>
      </c>
      <c r="F94" s="8"/>
      <c r="H94" s="4" t="s">
        <v>209</v>
      </c>
    </row>
    <row r="95" customFormat="false" ht="15" hidden="false" customHeight="false" outlineLevel="0" collapsed="false">
      <c r="A95" s="6"/>
      <c r="B95" s="6" t="s">
        <v>214</v>
      </c>
      <c r="C95" s="6" t="s">
        <v>215</v>
      </c>
      <c r="D95" s="11" t="s">
        <v>36</v>
      </c>
      <c r="E95" s="6" t="s">
        <v>13</v>
      </c>
      <c r="F95" s="6"/>
      <c r="H95" s="4" t="s">
        <v>209</v>
      </c>
    </row>
    <row r="96" customFormat="false" ht="15" hidden="false" customHeight="false" outlineLevel="0" collapsed="false">
      <c r="A96" s="8"/>
      <c r="B96" s="8" t="s">
        <v>216</v>
      </c>
      <c r="C96" s="8" t="s">
        <v>217</v>
      </c>
      <c r="D96" s="11" t="s">
        <v>36</v>
      </c>
      <c r="E96" s="8" t="s">
        <v>13</v>
      </c>
      <c r="F96" s="8" t="s">
        <v>218</v>
      </c>
      <c r="H96" s="4" t="s">
        <v>209</v>
      </c>
    </row>
    <row r="97" customFormat="false" ht="15" hidden="false" customHeight="false" outlineLevel="0" collapsed="false">
      <c r="A97" s="6"/>
      <c r="B97" s="6" t="s">
        <v>219</v>
      </c>
      <c r="C97" s="6" t="s">
        <v>220</v>
      </c>
      <c r="D97" s="11" t="s">
        <v>36</v>
      </c>
      <c r="E97" s="6" t="s">
        <v>13</v>
      </c>
      <c r="F97" s="6"/>
      <c r="H97" s="4" t="s">
        <v>209</v>
      </c>
    </row>
    <row r="98" customFormat="false" ht="15" hidden="false" customHeight="false" outlineLevel="0" collapsed="false">
      <c r="A98" s="8"/>
      <c r="B98" s="8" t="s">
        <v>221</v>
      </c>
      <c r="C98" s="8" t="s">
        <v>222</v>
      </c>
      <c r="D98" s="11" t="s">
        <v>36</v>
      </c>
      <c r="E98" s="8" t="s">
        <v>13</v>
      </c>
      <c r="F98" s="8"/>
      <c r="H98" s="4" t="s">
        <v>209</v>
      </c>
    </row>
    <row r="99" customFormat="false" ht="15" hidden="false" customHeight="false" outlineLevel="0" collapsed="false">
      <c r="A99" s="6"/>
      <c r="B99" s="6" t="s">
        <v>223</v>
      </c>
      <c r="C99" s="6" t="s">
        <v>224</v>
      </c>
      <c r="D99" s="9" t="s">
        <v>24</v>
      </c>
      <c r="E99" s="6" t="s">
        <v>13</v>
      </c>
      <c r="F99" s="6" t="s">
        <v>225</v>
      </c>
      <c r="H99" s="4" t="s">
        <v>209</v>
      </c>
    </row>
    <row r="100" customFormat="false" ht="15" hidden="false" customHeight="false" outlineLevel="0" collapsed="false">
      <c r="A100" s="10" t="s">
        <v>226</v>
      </c>
      <c r="B100" s="8" t="s">
        <v>227</v>
      </c>
      <c r="C100" s="8" t="s">
        <v>228</v>
      </c>
      <c r="D100" s="15" t="s">
        <v>229</v>
      </c>
      <c r="E100" s="8" t="s">
        <v>230</v>
      </c>
      <c r="F100" s="8" t="s">
        <v>231</v>
      </c>
      <c r="H100" s="4" t="s">
        <v>226</v>
      </c>
    </row>
    <row r="101" customFormat="false" ht="15" hidden="false" customHeight="false" outlineLevel="0" collapsed="false">
      <c r="A101" s="6"/>
      <c r="B101" s="6" t="s">
        <v>232</v>
      </c>
      <c r="C101" s="6" t="s">
        <v>233</v>
      </c>
      <c r="D101" s="15" t="s">
        <v>229</v>
      </c>
      <c r="E101" s="6" t="s">
        <v>234</v>
      </c>
      <c r="F101" s="6"/>
      <c r="H101" s="4" t="s">
        <v>226</v>
      </c>
    </row>
    <row r="102" customFormat="false" ht="15" hidden="false" customHeight="false" outlineLevel="0" collapsed="false">
      <c r="A102" s="10" t="s">
        <v>235</v>
      </c>
      <c r="B102" s="8" t="s">
        <v>236</v>
      </c>
      <c r="C102" s="8" t="s">
        <v>237</v>
      </c>
      <c r="D102" s="15" t="s">
        <v>229</v>
      </c>
      <c r="E102" s="8" t="s">
        <v>238</v>
      </c>
      <c r="F102" s="8" t="s">
        <v>239</v>
      </c>
      <c r="H102" s="4" t="s">
        <v>235</v>
      </c>
    </row>
    <row r="103" customFormat="false" ht="15" hidden="false" customHeight="false" outlineLevel="0" collapsed="false">
      <c r="A103" s="6"/>
      <c r="B103" s="6" t="s">
        <v>240</v>
      </c>
      <c r="C103" s="6" t="s">
        <v>241</v>
      </c>
      <c r="D103" s="15" t="s">
        <v>229</v>
      </c>
      <c r="E103" s="6" t="s">
        <v>238</v>
      </c>
      <c r="F103" s="6"/>
      <c r="H103" s="4" t="s">
        <v>235</v>
      </c>
    </row>
    <row r="104" customFormat="false" ht="15" hidden="false" customHeight="false" outlineLevel="0" collapsed="false">
      <c r="A104" s="8"/>
      <c r="B104" s="8" t="s">
        <v>242</v>
      </c>
      <c r="C104" s="8" t="s">
        <v>243</v>
      </c>
      <c r="D104" s="15" t="s">
        <v>229</v>
      </c>
      <c r="E104" s="8" t="s">
        <v>238</v>
      </c>
      <c r="F104" s="8"/>
      <c r="H104" s="4" t="s">
        <v>235</v>
      </c>
    </row>
    <row r="105" customFormat="false" ht="15" hidden="false" customHeight="false" outlineLevel="0" collapsed="false">
      <c r="A105" s="5" t="s">
        <v>244</v>
      </c>
      <c r="B105" s="6" t="s">
        <v>245</v>
      </c>
      <c r="C105" s="6" t="s">
        <v>246</v>
      </c>
      <c r="D105" s="12" t="s">
        <v>108</v>
      </c>
      <c r="E105" s="6" t="s">
        <v>13</v>
      </c>
      <c r="F105" s="6" t="s">
        <v>247</v>
      </c>
      <c r="H105" s="4" t="s">
        <v>244</v>
      </c>
    </row>
    <row r="106" customFormat="false" ht="15" hidden="false" customHeight="false" outlineLevel="0" collapsed="false">
      <c r="A106" s="8"/>
      <c r="B106" s="8" t="s">
        <v>248</v>
      </c>
      <c r="C106" s="8" t="s">
        <v>249</v>
      </c>
      <c r="D106" s="12" t="s">
        <v>108</v>
      </c>
      <c r="E106" s="8" t="s">
        <v>13</v>
      </c>
      <c r="F106" s="8" t="s">
        <v>250</v>
      </c>
      <c r="H106" s="4" t="s">
        <v>244</v>
      </c>
    </row>
    <row r="107" customFormat="false" ht="15" hidden="false" customHeight="false" outlineLevel="0" collapsed="false">
      <c r="A107" s="6"/>
      <c r="B107" s="6" t="s">
        <v>251</v>
      </c>
      <c r="C107" s="6" t="s">
        <v>252</v>
      </c>
      <c r="D107" s="12" t="s">
        <v>108</v>
      </c>
      <c r="E107" s="6" t="s">
        <v>13</v>
      </c>
      <c r="F107" s="6" t="s">
        <v>253</v>
      </c>
      <c r="H107" s="4" t="s">
        <v>244</v>
      </c>
    </row>
    <row r="108" customFormat="false" ht="15" hidden="false" customHeight="false" outlineLevel="0" collapsed="false">
      <c r="A108" s="10" t="s">
        <v>254</v>
      </c>
      <c r="B108" s="8" t="s">
        <v>255</v>
      </c>
      <c r="C108" s="8" t="s">
        <v>256</v>
      </c>
      <c r="D108" s="9" t="s">
        <v>24</v>
      </c>
      <c r="E108" s="8" t="s">
        <v>196</v>
      </c>
      <c r="F108" s="8" t="s">
        <v>257</v>
      </c>
      <c r="H108" s="4" t="s">
        <v>254</v>
      </c>
    </row>
    <row r="109" customFormat="false" ht="15" hidden="false" customHeight="false" outlineLevel="0" collapsed="false">
      <c r="A109" s="6"/>
      <c r="B109" s="6" t="s">
        <v>258</v>
      </c>
      <c r="C109" s="6" t="s">
        <v>259</v>
      </c>
      <c r="D109" s="9" t="s">
        <v>24</v>
      </c>
      <c r="E109" s="6" t="s">
        <v>196</v>
      </c>
      <c r="F109" s="6" t="s">
        <v>260</v>
      </c>
      <c r="H109" s="4" t="s">
        <v>254</v>
      </c>
    </row>
  </sheetData>
  <autoFilter ref="A4:F109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10"/>
  </cols>
  <sheetData>
    <row r="1" customFormat="false" ht="25.5" hidden="false" customHeight="true" outlineLevel="0" collapsed="false">
      <c r="A1" s="16" t="s">
        <v>261</v>
      </c>
      <c r="B1" s="16"/>
      <c r="C1" s="16"/>
    </row>
    <row r="3" customFormat="false" ht="15" hidden="false" customHeight="false" outlineLevel="0" collapsed="false">
      <c r="A3" s="17" t="s">
        <v>262</v>
      </c>
      <c r="B3" s="18" t="n">
        <f aca="false">COUNTA('Build Manifest'!B5:B109)</f>
        <v>105</v>
      </c>
    </row>
    <row r="5" customFormat="false" ht="15" hidden="false" customHeight="false" outlineLevel="0" collapsed="false">
      <c r="A5" s="18" t="s">
        <v>263</v>
      </c>
      <c r="D5" s="18" t="s">
        <v>264</v>
      </c>
    </row>
    <row r="6" customFormat="false" ht="15" hidden="false" customHeight="false" outlineLevel="0" collapsed="false">
      <c r="A6" s="19" t="s">
        <v>12</v>
      </c>
      <c r="B6" s="20" t="n">
        <f aca="false">COUNTIF('Build Manifest'!D5:D109,"Locked")</f>
        <v>7</v>
      </c>
      <c r="D6" s="21" t="s">
        <v>9</v>
      </c>
      <c r="E6" s="20" t="n">
        <f aca="false">COUNTIF('Build Manifest'!H5:H109,"1. Design Foundation")</f>
        <v>5</v>
      </c>
    </row>
    <row r="7" customFormat="false" ht="15" hidden="false" customHeight="false" outlineLevel="0" collapsed="false">
      <c r="A7" s="22" t="s">
        <v>36</v>
      </c>
      <c r="B7" s="20" t="n">
        <f aca="false">COUNTIF('Build Manifest'!D5:D109,"Specified")</f>
        <v>74</v>
      </c>
      <c r="D7" s="21" t="s">
        <v>26</v>
      </c>
      <c r="E7" s="20" t="n">
        <f aca="false">COUNTIF('Build Manifest'!H5:H109,"2. Naming &amp; Ownership")</f>
        <v>3</v>
      </c>
    </row>
    <row r="8" customFormat="false" ht="15" hidden="false" customHeight="false" outlineLevel="0" collapsed="false">
      <c r="A8" s="23" t="s">
        <v>179</v>
      </c>
      <c r="B8" s="20" t="n">
        <f aca="false">COUNTIF('Build Manifest'!D5:D109,"Built")</f>
        <v>5</v>
      </c>
      <c r="D8" s="21" t="s">
        <v>33</v>
      </c>
      <c r="E8" s="20" t="n">
        <f aca="false">COUNTIF('Build Manifest'!H5:H109,"3. Attendee Screens")</f>
        <v>17</v>
      </c>
    </row>
    <row r="9" customFormat="false" ht="15" hidden="false" customHeight="false" outlineLevel="0" collapsed="false">
      <c r="A9" s="24" t="s">
        <v>131</v>
      </c>
      <c r="B9" s="20" t="n">
        <f aca="false">COUNTIF('Build Manifest'!D5:D109,"Prototyped")</f>
        <v>4</v>
      </c>
      <c r="D9" s="21" t="s">
        <v>55</v>
      </c>
      <c r="E9" s="20" t="n">
        <f aca="false">COUNTIF('Build Manifest'!H5:H109,"4. Host - Admin")</f>
        <v>11</v>
      </c>
    </row>
    <row r="10" customFormat="false" ht="15" hidden="false" customHeight="false" outlineLevel="0" collapsed="false">
      <c r="A10" s="25" t="s">
        <v>229</v>
      </c>
      <c r="B10" s="20" t="n">
        <f aca="false">COUNTIF('Build Manifest'!D5:D109,"Drafted")</f>
        <v>5</v>
      </c>
      <c r="D10" s="21" t="s">
        <v>68</v>
      </c>
      <c r="E10" s="20" t="n">
        <f aca="false">COUNTIF('Build Manifest'!H5:H109,"4. Host - Command Center")</f>
        <v>11</v>
      </c>
    </row>
    <row r="11" customFormat="false" ht="15" hidden="false" customHeight="false" outlineLevel="0" collapsed="false">
      <c r="A11" s="26" t="s">
        <v>108</v>
      </c>
      <c r="B11" s="20" t="n">
        <f aca="false">COUNTIF('Build Manifest'!D5:D109,"Reserved")</f>
        <v>5</v>
      </c>
      <c r="D11" s="21" t="s">
        <v>81</v>
      </c>
      <c r="E11" s="20" t="n">
        <f aca="false">COUNTIF('Build Manifest'!H5:H109,"4. Host - Access")</f>
        <v>10</v>
      </c>
    </row>
    <row r="12" customFormat="false" ht="15" hidden="false" customHeight="false" outlineLevel="0" collapsed="false">
      <c r="A12" s="26" t="s">
        <v>265</v>
      </c>
      <c r="B12" s="20" t="n">
        <f aca="false">COUNTIF('Build Manifest'!D5:D109,"Parked")</f>
        <v>0</v>
      </c>
      <c r="D12" s="21" t="s">
        <v>113</v>
      </c>
      <c r="E12" s="20" t="n">
        <f aca="false">COUNTIF('Build Manifest'!H5:H109,"5. Home &amp; Profile")</f>
        <v>6</v>
      </c>
    </row>
    <row r="13" customFormat="false" ht="15" hidden="false" customHeight="false" outlineLevel="0" collapsed="false">
      <c r="A13" s="27" t="s">
        <v>24</v>
      </c>
      <c r="B13" s="20" t="n">
        <f aca="false">COUNTIF('Build Manifest'!D5:D109,"Pending")</f>
        <v>5</v>
      </c>
      <c r="D13" s="21" t="s">
        <v>134</v>
      </c>
      <c r="E13" s="20" t="n">
        <f aca="false">COUNTIF('Build Manifest'!H5:H109,"6. Event Layer")</f>
        <v>4</v>
      </c>
    </row>
    <row r="14" customFormat="false" ht="15" hidden="false" customHeight="false" outlineLevel="0" collapsed="false">
      <c r="D14" s="21" t="s">
        <v>145</v>
      </c>
      <c r="E14" s="20" t="n">
        <f aca="false">COUNTIF('Build Manifest'!H5:H109,"7. States")</f>
        <v>3</v>
      </c>
    </row>
    <row r="15" customFormat="false" ht="15" hidden="false" customHeight="false" outlineLevel="0" collapsed="false">
      <c r="D15" s="21" t="s">
        <v>153</v>
      </c>
      <c r="E15" s="20" t="n">
        <f aca="false">COUNTIF('Build Manifest'!H5:H109,"8. Auth, Sessions &amp; Failures")</f>
        <v>9</v>
      </c>
    </row>
    <row r="16" customFormat="false" ht="15" hidden="false" customHeight="false" outlineLevel="0" collapsed="false">
      <c r="A16" s="18" t="s">
        <v>266</v>
      </c>
      <c r="D16" s="21" t="s">
        <v>176</v>
      </c>
      <c r="E16" s="20" t="n">
        <f aca="false">COUNTIF('Build Manifest'!H5:H109,"9. Component Inventory")</f>
        <v>2</v>
      </c>
    </row>
    <row r="17" customFormat="false" ht="15" hidden="false" customHeight="false" outlineLevel="0" collapsed="false">
      <c r="A17" s="20" t="s">
        <v>267</v>
      </c>
      <c r="B17" s="28" t="n">
        <v>16</v>
      </c>
      <c r="D17" s="21" t="s">
        <v>185</v>
      </c>
      <c r="E17" s="20" t="n">
        <f aca="false">COUNTIF('Build Manifest'!H5:H109,"10. Flow Maps")</f>
        <v>4</v>
      </c>
    </row>
    <row r="18" customFormat="false" ht="15" hidden="false" customHeight="false" outlineLevel="0" collapsed="false">
      <c r="A18" s="20" t="s">
        <v>268</v>
      </c>
      <c r="B18" s="28" t="n">
        <v>4</v>
      </c>
      <c r="D18" s="21" t="s">
        <v>198</v>
      </c>
      <c r="E18" s="20" t="n">
        <f aca="false">COUNTIF('Build Manifest'!H5:H109,"11. Prototypes")</f>
        <v>3</v>
      </c>
    </row>
    <row r="19" customFormat="false" ht="15" hidden="false" customHeight="false" outlineLevel="0" collapsed="false">
      <c r="A19" s="20" t="s">
        <v>269</v>
      </c>
      <c r="B19" s="28" t="n">
        <v>78</v>
      </c>
      <c r="D19" s="21" t="s">
        <v>209</v>
      </c>
      <c r="E19" s="20" t="n">
        <f aca="false">COUNTIF('Build Manifest'!H5:H109,"12. Technical Architecture")</f>
        <v>7</v>
      </c>
    </row>
    <row r="20" customFormat="false" ht="15" hidden="false" customHeight="false" outlineLevel="0" collapsed="false">
      <c r="A20" s="20" t="s">
        <v>270</v>
      </c>
      <c r="B20" s="28" t="n">
        <v>31</v>
      </c>
      <c r="D20" s="21" t="s">
        <v>226</v>
      </c>
      <c r="E20" s="20" t="n">
        <f aca="false">COUNTIF('Build Manifest'!H5:H109,"13. Legal &amp; Trust")</f>
        <v>2</v>
      </c>
    </row>
    <row r="21" customFormat="false" ht="15" hidden="false" customHeight="false" outlineLevel="0" collapsed="false">
      <c r="A21" s="20" t="s">
        <v>271</v>
      </c>
      <c r="B21" s="28" t="n">
        <v>3</v>
      </c>
      <c r="D21" s="21" t="s">
        <v>235</v>
      </c>
      <c r="E21" s="20" t="n">
        <f aca="false">COUNTIF('Build Manifest'!H5:H109,"14. Decks")</f>
        <v>3</v>
      </c>
    </row>
    <row r="22" customFormat="false" ht="15" hidden="false" customHeight="false" outlineLevel="0" collapsed="false">
      <c r="A22" s="20" t="s">
        <v>272</v>
      </c>
      <c r="B22" s="28" t="n">
        <v>3</v>
      </c>
      <c r="D22" s="21" t="s">
        <v>244</v>
      </c>
      <c r="E22" s="20" t="n">
        <f aca="false">COUNTIF('Build Manifest'!H5:H109,"15. Reserved (Soon)")</f>
        <v>3</v>
      </c>
    </row>
    <row r="23" customFormat="false" ht="15" hidden="false" customHeight="false" outlineLevel="0" collapsed="false">
      <c r="D23" s="21" t="s">
        <v>254</v>
      </c>
      <c r="E23" s="20" t="n">
        <f aca="false">COUNTIF('Build Manifest'!H5:H109,"16. App Build")</f>
        <v>2</v>
      </c>
    </row>
    <row r="24" customFormat="false" ht="15" hidden="false" customHeight="false" outlineLevel="0" collapsed="false">
      <c r="A24" s="29" t="s">
        <v>273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2026-06-09T00:53:27Z</dcterms:created>
  <dc:creator>openpyxl</dc:creator>
  <dc:description/>
  <dc:language>en-US</dc:language>
  <cp:lastModifiedBy/>
  <dcterms:modified xsi:type="dcterms:W3CDTF">2026-06-09T00:53:28Z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